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alendedeic/Library/CloudStorage/GoogleDrive-alendedeic@gmail.com/My Drive/ZZP/Opdrachtgevers/Domogo/Calculator/"/>
    </mc:Choice>
  </mc:AlternateContent>
  <xr:revisionPtr revIDLastSave="0" documentId="13_ncr:1_{FE22A4D1-ED0A-D944-B861-A36D02694D15}" xr6:coauthVersionLast="47" xr6:coauthVersionMax="47" xr10:uidLastSave="{00000000-0000-0000-0000-000000000000}"/>
  <bookViews>
    <workbookView xWindow="3040" yWindow="-23520" windowWidth="34200" windowHeight="21360" tabRatio="720" xr2:uid="{4249DDC7-8A47-0144-8897-74A8384EB446}"/>
  </bookViews>
  <sheets>
    <sheet name="Calculator" sheetId="4" r:id="rId1"/>
    <sheet name="financieel nadeel" sheetId="16" r:id="rId2"/>
    <sheet name="Productselectie" sheetId="13" r:id="rId3"/>
    <sheet name="Producten" sheetId="5" r:id="rId4"/>
    <sheet name="Keuzemenu" sheetId="9" r:id="rId5"/>
    <sheet name="Stamgegevens" sheetId="6" r:id="rId6"/>
    <sheet name="BTW" sheetId="17" r:id="rId7"/>
    <sheet name="Jaargegevens" sheetId="7" r:id="rId8"/>
    <sheet name="Degradatie" sheetId="11" r:id="rId9"/>
    <sheet name="Cycli" sheetId="14" r:id="rId10"/>
    <sheet name="Opbrengsten" sheetId="2" r:id="rId11"/>
    <sheet name="Kosten" sheetId="8" r:id="rId12"/>
  </sheets>
  <definedNames>
    <definedName name="_xlnm._FilterDatabase" localSheetId="3" hidden="1">Producten!$H$7:$S$7</definedName>
    <definedName name="_xlnm.Print_Area" localSheetId="0">Calculator!$C$2:$X$213</definedName>
    <definedName name="_xlnm.Print_Area" localSheetId="9">Cycli!$1:$33</definedName>
    <definedName name="_xlnm.Print_Area" localSheetId="7">Jaargegevens!$1:$34</definedName>
    <definedName name="_xlnm.Print_Area" localSheetId="11">Kosten!$A$1:$R$1</definedName>
    <definedName name="_xlnm.Print_Area" localSheetId="10">Opbrengsten!$1:$35</definedName>
    <definedName name="_xlnm.Print_Titles" localSheetId="0">Calculator!$1:$4</definedName>
    <definedName name="_xlnm.Print_Titles" localSheetId="9">Cycli!$A:$A</definedName>
    <definedName name="_xlnm.Print_Titles" localSheetId="10">Opbrengsten!$A:$A</definedName>
    <definedName name="capa1">Producten!$H$8:$H$15</definedName>
    <definedName name="capa2">Producten!$H$42:$H$45</definedName>
    <definedName name="capa3">Producten!$H$16:$H$33</definedName>
    <definedName name="capa4">Producten!$H$21:$H$33</definedName>
    <definedName name="capa5">Producten!$H$34:$H$41</definedName>
    <definedName name="capa6">Producten!$H$46:$H$52</definedName>
    <definedName name="capa7">Producten!$H$53:$H$56</definedName>
    <definedName name="fase1">Productselectie!$B$4:$B$5</definedName>
    <definedName name="fase11">Productselectie!$B$4:$E$5</definedName>
    <definedName name="merk1">Productselectie!$B$12:$B$13</definedName>
    <definedName name="merk11">Productselectie!$B$12:$E$13</definedName>
    <definedName name="merk2">Productselectie!$F$12:$F$14</definedName>
    <definedName name="merk21">Productselectie!$F$12:$I$14</definedName>
    <definedName name="omvo1">Productselectie!$B$21</definedName>
    <definedName name="omvo11">Productselectie!$B$21:$E$21</definedName>
    <definedName name="omvo2">Productselectie!$F$21</definedName>
    <definedName name="omvo21">Productselectie!$F$21:$I$21</definedName>
    <definedName name="omvo3">Productselectie!$B$25:$B$26</definedName>
    <definedName name="omvo31">Productselectie!$B$25:$E$26</definedName>
    <definedName name="omvo4">Productselectie!$F$25</definedName>
    <definedName name="omvo41">Productselectie!$F$25:$I$25</definedName>
    <definedName name="omvo5">Productselectie!$J$25:$J$26</definedName>
    <definedName name="omvo51">Productselectie!$J$25:$M$26</definedName>
    <definedName name="ParticulierJaJa">BTW!$S$55:$X$62</definedName>
    <definedName name="ParticulierJaNee">BTW!$S$45:$X$52</definedName>
    <definedName name="ParticulierNeeJa">BTW!$S$75:$Y$82</definedName>
    <definedName name="ParticulierNeeNee">BTW!$S$65:$X$72</definedName>
    <definedName name="ZakelijkJaJa">BTW!$S$85:$X$92</definedName>
    <definedName name="ZakelijkJaNee">BTW!$S$95:$X$102</definedName>
    <definedName name="ZakelijkNeeJa">BTW!$S$115:$X$122</definedName>
    <definedName name="ZakelijkNeeNee">BTW!$S$105:$X$112</definedName>
  </definedNames>
  <calcPr calcId="191029" iterate="1" iterateCount="1000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32" i="9" l="1"/>
  <c r="J33" i="9"/>
  <c r="J31" i="9"/>
  <c r="K32" i="9" l="1"/>
  <c r="M32" i="9" s="1"/>
  <c r="K31" i="9"/>
  <c r="M31" i="9" s="1"/>
  <c r="K33" i="9"/>
  <c r="M33" i="9" s="1"/>
  <c r="AO51" i="5"/>
  <c r="M25" i="5" l="1"/>
  <c r="H25" i="5" s="1"/>
  <c r="U25" i="5"/>
  <c r="V25" i="5"/>
  <c r="W25" i="5"/>
  <c r="Y25" i="5"/>
  <c r="AB25" i="5"/>
  <c r="H26" i="5"/>
  <c r="M26" i="5"/>
  <c r="U26" i="5"/>
  <c r="V26" i="5"/>
  <c r="W26" i="5"/>
  <c r="Y26" i="5"/>
  <c r="AB26" i="5"/>
  <c r="H27" i="5"/>
  <c r="M27" i="5"/>
  <c r="U27" i="5"/>
  <c r="V27" i="5"/>
  <c r="W27" i="5"/>
  <c r="Y27" i="5"/>
  <c r="AB27" i="5"/>
  <c r="AO22" i="5" l="1"/>
  <c r="AO23" i="5"/>
  <c r="AO24" i="5"/>
  <c r="AO28" i="5"/>
  <c r="AO29" i="5"/>
  <c r="AO30" i="5"/>
  <c r="AO31" i="5"/>
  <c r="AO32" i="5"/>
  <c r="AO33" i="5"/>
  <c r="AO34" i="5"/>
  <c r="AO35" i="5"/>
  <c r="AO36" i="5"/>
  <c r="AO37" i="5"/>
  <c r="AO38" i="5"/>
  <c r="AO39" i="5"/>
  <c r="AO40" i="5"/>
  <c r="AO41" i="5"/>
  <c r="AO52" i="5"/>
  <c r="AO15" i="5"/>
  <c r="H8" i="5"/>
  <c r="W121" i="17" l="1"/>
  <c r="W111" i="17"/>
  <c r="W101" i="17"/>
  <c r="W91" i="17"/>
  <c r="W81" i="17"/>
  <c r="W71" i="17"/>
  <c r="W61" i="17"/>
  <c r="W51" i="17"/>
  <c r="Q25" i="16"/>
  <c r="W122" i="17" l="1"/>
  <c r="W120" i="17"/>
  <c r="W119" i="17"/>
  <c r="W118" i="17"/>
  <c r="W117" i="17"/>
  <c r="W116" i="17"/>
  <c r="W115" i="17"/>
  <c r="W112" i="17"/>
  <c r="W110" i="17"/>
  <c r="W109" i="17"/>
  <c r="W108" i="17"/>
  <c r="W107" i="17"/>
  <c r="W106" i="17"/>
  <c r="W105" i="17"/>
  <c r="W102" i="17"/>
  <c r="W100" i="17"/>
  <c r="W99" i="17"/>
  <c r="W98" i="17"/>
  <c r="W97" i="17"/>
  <c r="W96" i="17"/>
  <c r="W95" i="17"/>
  <c r="W92" i="17"/>
  <c r="W90" i="17"/>
  <c r="W89" i="17"/>
  <c r="W88" i="17"/>
  <c r="W87" i="17"/>
  <c r="W86" i="17"/>
  <c r="W85" i="17"/>
  <c r="W82" i="17"/>
  <c r="W80" i="17"/>
  <c r="W79" i="17"/>
  <c r="W78" i="17"/>
  <c r="W77" i="17"/>
  <c r="W76" i="17"/>
  <c r="W75" i="17"/>
  <c r="W72" i="17"/>
  <c r="W70" i="17"/>
  <c r="W69" i="17"/>
  <c r="W68" i="17"/>
  <c r="W67" i="17"/>
  <c r="W66" i="17"/>
  <c r="W65" i="17"/>
  <c r="W62" i="17"/>
  <c r="W60" i="17"/>
  <c r="W59" i="17"/>
  <c r="W58" i="17"/>
  <c r="W57" i="17"/>
  <c r="W56" i="17"/>
  <c r="W55" i="17"/>
  <c r="W52" i="17"/>
  <c r="W50" i="17"/>
  <c r="W49" i="17"/>
  <c r="W48" i="17"/>
  <c r="W47" i="17"/>
  <c r="W46" i="17"/>
  <c r="W45" i="17"/>
  <c r="X115" i="17"/>
  <c r="W34" i="17"/>
  <c r="W33" i="17"/>
  <c r="X32" i="17"/>
  <c r="W32" i="17"/>
  <c r="W31" i="17"/>
  <c r="W30" i="17"/>
  <c r="W29" i="17"/>
  <c r="W28" i="17"/>
  <c r="W27" i="17"/>
  <c r="X105" i="17"/>
  <c r="X75" i="17"/>
  <c r="X65" i="17"/>
  <c r="W24" i="17"/>
  <c r="W23" i="17"/>
  <c r="W22" i="17"/>
  <c r="W21" i="17"/>
  <c r="W20" i="17"/>
  <c r="W19" i="17"/>
  <c r="W18" i="17"/>
  <c r="W17" i="17"/>
  <c r="V8" i="17"/>
  <c r="U8" i="17"/>
  <c r="T8" i="17"/>
  <c r="D5" i="17"/>
  <c r="W8" i="17" l="1"/>
  <c r="D13" i="17"/>
  <c r="T27" i="9"/>
  <c r="R27" i="9"/>
  <c r="F30" i="9"/>
  <c r="G30" i="9" s="1"/>
  <c r="H30" i="9" s="1"/>
  <c r="I30" i="9" s="1"/>
  <c r="J30" i="9" s="1"/>
  <c r="K30" i="9" s="1"/>
  <c r="L30" i="9" s="1"/>
  <c r="M30" i="9" s="1"/>
  <c r="N30" i="9" s="1"/>
  <c r="O30" i="9" s="1"/>
  <c r="P30" i="9" s="1"/>
  <c r="E30" i="9"/>
  <c r="AB56" i="5"/>
  <c r="AB55" i="5"/>
  <c r="AB54" i="5"/>
  <c r="AB53" i="5"/>
  <c r="AB52" i="5"/>
  <c r="AB51" i="5"/>
  <c r="AB50" i="5"/>
  <c r="AB49" i="5"/>
  <c r="AB48" i="5"/>
  <c r="AB47" i="5"/>
  <c r="AB46" i="5"/>
  <c r="AB45" i="5"/>
  <c r="AB44" i="5"/>
  <c r="AB43" i="5"/>
  <c r="AB42" i="5"/>
  <c r="AB41" i="5"/>
  <c r="AB40" i="5"/>
  <c r="AB39" i="5"/>
  <c r="AB38" i="5"/>
  <c r="AB37" i="5"/>
  <c r="AB36" i="5"/>
  <c r="AB35" i="5"/>
  <c r="AB34" i="5"/>
  <c r="AB33" i="5"/>
  <c r="AB32" i="5"/>
  <c r="AB31" i="5"/>
  <c r="AB30" i="5"/>
  <c r="AB29" i="5"/>
  <c r="AB28" i="5"/>
  <c r="AB24" i="5"/>
  <c r="AB23" i="5"/>
  <c r="AB22" i="5"/>
  <c r="AB21" i="5"/>
  <c r="AB20" i="5"/>
  <c r="AB19" i="5"/>
  <c r="AB18" i="5"/>
  <c r="AB17" i="5"/>
  <c r="AB16" i="5"/>
  <c r="AB15" i="5"/>
  <c r="AB14" i="5"/>
  <c r="AB13" i="5"/>
  <c r="AB12" i="5"/>
  <c r="AB11" i="5"/>
  <c r="AB10" i="5"/>
  <c r="AB9" i="5"/>
  <c r="M56" i="5"/>
  <c r="M55" i="5"/>
  <c r="M54" i="5"/>
  <c r="M53" i="5"/>
  <c r="M52" i="5"/>
  <c r="M51" i="5"/>
  <c r="M50" i="5"/>
  <c r="M49" i="5"/>
  <c r="M48" i="5"/>
  <c r="M47" i="5"/>
  <c r="M46" i="5"/>
  <c r="M45" i="5"/>
  <c r="M44" i="5"/>
  <c r="M43" i="5"/>
  <c r="M42" i="5"/>
  <c r="M41" i="5"/>
  <c r="M40" i="5"/>
  <c r="M39" i="5"/>
  <c r="M38" i="5"/>
  <c r="M37" i="5"/>
  <c r="M36" i="5"/>
  <c r="M35" i="5"/>
  <c r="M34" i="5"/>
  <c r="M33" i="5"/>
  <c r="M32" i="5"/>
  <c r="M31" i="5"/>
  <c r="M30" i="5"/>
  <c r="M29" i="5"/>
  <c r="M28" i="5"/>
  <c r="M24" i="5"/>
  <c r="M23" i="5"/>
  <c r="M22" i="5"/>
  <c r="M21" i="5"/>
  <c r="M20" i="5"/>
  <c r="M19" i="5"/>
  <c r="M18" i="5"/>
  <c r="M17" i="5"/>
  <c r="M16" i="5"/>
  <c r="M15" i="5"/>
  <c r="M14" i="5"/>
  <c r="M13" i="5"/>
  <c r="M12" i="5"/>
  <c r="M11" i="5"/>
  <c r="M10" i="5"/>
  <c r="M9" i="5"/>
  <c r="M8" i="5"/>
  <c r="AB8" i="5" s="1"/>
  <c r="E49" i="17"/>
  <c r="B50" i="17"/>
  <c r="B47" i="17"/>
  <c r="C50" i="17"/>
  <c r="C45" i="17"/>
  <c r="C49" i="17"/>
  <c r="D52" i="17"/>
  <c r="B48" i="17"/>
  <c r="C47" i="17"/>
  <c r="C51" i="17"/>
  <c r="B49" i="17"/>
  <c r="D50" i="17"/>
  <c r="D48" i="17"/>
  <c r="D51" i="17"/>
  <c r="D49" i="17"/>
  <c r="D46" i="17"/>
  <c r="C48" i="17"/>
  <c r="C46" i="17"/>
  <c r="C52" i="17"/>
  <c r="B52" i="17"/>
  <c r="B46" i="17"/>
  <c r="B51" i="17"/>
  <c r="B45" i="17"/>
  <c r="D45" i="17"/>
  <c r="D47" i="17"/>
  <c r="G148" i="4" l="1"/>
  <c r="I29" i="16"/>
  <c r="G4" i="16"/>
  <c r="S7" i="16"/>
  <c r="E29" i="16" s="1"/>
  <c r="C7" i="16"/>
  <c r="C3" i="16"/>
  <c r="C15" i="16" s="1"/>
  <c r="A3" i="16"/>
  <c r="G8" i="16" s="1"/>
  <c r="E23" i="16" s="1"/>
  <c r="E17" i="16" l="1"/>
  <c r="E15" i="16"/>
  <c r="C17" i="16"/>
  <c r="K29" i="16"/>
  <c r="Q29" i="16" s="1"/>
  <c r="G29" i="16"/>
  <c r="I15" i="16"/>
  <c r="C25" i="16"/>
  <c r="O29" i="16"/>
  <c r="O23" i="16"/>
  <c r="S23" i="16" s="1"/>
  <c r="O7" i="16"/>
  <c r="K25" i="16" s="1"/>
  <c r="I17" i="16" l="1"/>
  <c r="I19" i="16" s="1"/>
  <c r="I21" i="16" s="1"/>
  <c r="C19" i="16"/>
  <c r="C21" i="16" s="1"/>
  <c r="S29" i="16"/>
  <c r="C23" i="16"/>
  <c r="I23" i="16" s="1"/>
  <c r="M29" i="16"/>
  <c r="I25" i="16"/>
  <c r="G25" i="16"/>
  <c r="O15" i="16"/>
  <c r="O21" i="16" s="1"/>
  <c r="O25" i="16" l="1"/>
  <c r="S25" i="16" s="1"/>
  <c r="M25" i="16"/>
  <c r="U15" i="5" l="1"/>
  <c r="Y15" i="5" s="1"/>
  <c r="H15" i="5"/>
  <c r="U14" i="5"/>
  <c r="Y14" i="5" s="1"/>
  <c r="H14" i="5"/>
  <c r="U13" i="5"/>
  <c r="Y13" i="5" s="1"/>
  <c r="H13" i="5"/>
  <c r="U12" i="5"/>
  <c r="Y12" i="5" s="1"/>
  <c r="H12" i="5"/>
  <c r="Y11" i="5"/>
  <c r="W11" i="5"/>
  <c r="V11" i="5"/>
  <c r="K11" i="5"/>
  <c r="H11" i="5" s="1"/>
  <c r="U56" i="5"/>
  <c r="U55" i="5"/>
  <c r="U54" i="5"/>
  <c r="U53" i="5"/>
  <c r="W23" i="5"/>
  <c r="V12" i="5" l="1"/>
  <c r="V14" i="5"/>
  <c r="W12" i="5"/>
  <c r="W14" i="5"/>
  <c r="V13" i="5"/>
  <c r="V15" i="5"/>
  <c r="W13" i="5"/>
  <c r="W15" i="5"/>
  <c r="M5" i="7"/>
  <c r="M7" i="7" l="1"/>
  <c r="L19" i="11"/>
  <c r="L20" i="11" s="1"/>
  <c r="L21" i="11" s="1"/>
  <c r="L22" i="11" s="1"/>
  <c r="L23" i="11" s="1"/>
  <c r="L24" i="11" s="1"/>
  <c r="L25" i="11" s="1"/>
  <c r="L26" i="11" s="1"/>
  <c r="L27" i="11" s="1"/>
  <c r="L28" i="11" s="1"/>
  <c r="L29" i="11" s="1"/>
  <c r="L30" i="11" s="1"/>
  <c r="L31" i="11" s="1"/>
  <c r="L32" i="11" s="1"/>
  <c r="L33" i="11" s="1"/>
  <c r="L34" i="11" s="1"/>
  <c r="L35" i="11" s="1"/>
  <c r="L36" i="11" s="1"/>
  <c r="W56" i="5" l="1"/>
  <c r="W55" i="5"/>
  <c r="W54" i="5"/>
  <c r="W53" i="5"/>
  <c r="W52" i="5"/>
  <c r="W51" i="5"/>
  <c r="W50" i="5"/>
  <c r="W49" i="5"/>
  <c r="W48" i="5"/>
  <c r="W47" i="5"/>
  <c r="W46" i="5"/>
  <c r="W45" i="5"/>
  <c r="W44" i="5"/>
  <c r="W43" i="5"/>
  <c r="W42" i="5"/>
  <c r="W41" i="5"/>
  <c r="W40" i="5"/>
  <c r="W39" i="5"/>
  <c r="W38" i="5"/>
  <c r="W37" i="5"/>
  <c r="W36" i="5"/>
  <c r="W35" i="5"/>
  <c r="W34" i="5"/>
  <c r="W24" i="5"/>
  <c r="W22" i="5"/>
  <c r="W21" i="5"/>
  <c r="W20" i="5"/>
  <c r="W19" i="5"/>
  <c r="W18" i="5"/>
  <c r="W17" i="5"/>
  <c r="W16" i="5"/>
  <c r="W10" i="5"/>
  <c r="W9" i="5"/>
  <c r="W8" i="5"/>
  <c r="U32" i="5"/>
  <c r="Y32" i="5" s="1"/>
  <c r="H32" i="5"/>
  <c r="U31" i="5"/>
  <c r="Y31" i="5" s="1"/>
  <c r="H31" i="5"/>
  <c r="U30" i="5"/>
  <c r="Y30" i="5" s="1"/>
  <c r="H30" i="5"/>
  <c r="W30" i="5" l="1"/>
  <c r="W31" i="5"/>
  <c r="W32" i="5"/>
  <c r="V30" i="5"/>
  <c r="V32" i="5"/>
  <c r="V31" i="5"/>
  <c r="Y45" i="5" l="1"/>
  <c r="V45" i="5"/>
  <c r="H45" i="5"/>
  <c r="O29" i="14"/>
  <c r="O28" i="14"/>
  <c r="O27" i="14"/>
  <c r="O26" i="14"/>
  <c r="O25" i="14"/>
  <c r="O24" i="14"/>
  <c r="O23" i="14"/>
  <c r="O22" i="14"/>
  <c r="O21" i="14"/>
  <c r="O20" i="14"/>
  <c r="O19" i="14"/>
  <c r="O18" i="14"/>
  <c r="O17" i="14"/>
  <c r="O16" i="14"/>
  <c r="O15" i="14"/>
  <c r="O14" i="14"/>
  <c r="O13" i="14"/>
  <c r="O12" i="14"/>
  <c r="O11" i="14"/>
  <c r="M29" i="14"/>
  <c r="M28" i="14"/>
  <c r="M27" i="14"/>
  <c r="M26" i="14"/>
  <c r="M25" i="14"/>
  <c r="M24" i="14"/>
  <c r="M23" i="14"/>
  <c r="M22" i="14"/>
  <c r="M21" i="14"/>
  <c r="M20" i="14"/>
  <c r="M19" i="14"/>
  <c r="M18" i="14"/>
  <c r="M17" i="14"/>
  <c r="M16" i="14"/>
  <c r="M15" i="14"/>
  <c r="M14" i="14"/>
  <c r="M13" i="14"/>
  <c r="M12" i="14"/>
  <c r="M11" i="14"/>
  <c r="Y10" i="5"/>
  <c r="V10" i="5"/>
  <c r="Q10" i="5"/>
  <c r="K10" i="5"/>
  <c r="H10" i="5" s="1"/>
  <c r="Y9" i="5"/>
  <c r="V9" i="5"/>
  <c r="Q9" i="5"/>
  <c r="K9" i="5"/>
  <c r="H9" i="5" s="1"/>
  <c r="Y8" i="5"/>
  <c r="V8" i="5"/>
  <c r="Q8" i="5"/>
  <c r="K8" i="5"/>
  <c r="Y16" i="5"/>
  <c r="V16" i="5"/>
  <c r="Q16" i="5"/>
  <c r="K16" i="5"/>
  <c r="H16" i="5" s="1"/>
  <c r="C6" i="13"/>
  <c r="J24" i="13"/>
  <c r="F24" i="13"/>
  <c r="B24" i="13"/>
  <c r="F20" i="13"/>
  <c r="B20" i="13"/>
  <c r="F11" i="13"/>
  <c r="B11" i="13"/>
  <c r="Y44" i="5"/>
  <c r="V44" i="5"/>
  <c r="H44" i="5"/>
  <c r="Y43" i="5"/>
  <c r="V43" i="5"/>
  <c r="Q43" i="5"/>
  <c r="H43" i="5"/>
  <c r="Y42" i="5"/>
  <c r="V42" i="5"/>
  <c r="Q42" i="5"/>
  <c r="H42" i="5"/>
  <c r="Y55" i="5"/>
  <c r="Y54" i="5"/>
  <c r="Y53" i="5"/>
  <c r="Y52" i="5"/>
  <c r="Y51" i="5"/>
  <c r="Y50" i="5"/>
  <c r="Y49" i="5"/>
  <c r="Y48" i="5"/>
  <c r="Y47" i="5"/>
  <c r="Y46" i="5"/>
  <c r="Y41" i="5"/>
  <c r="Y40" i="5"/>
  <c r="Y39" i="5"/>
  <c r="Y38" i="5"/>
  <c r="Y37" i="5"/>
  <c r="Y36" i="5"/>
  <c r="Y35" i="5"/>
  <c r="Y34" i="5"/>
  <c r="Y24" i="5"/>
  <c r="Y23" i="5"/>
  <c r="Y22" i="5"/>
  <c r="Y20" i="5"/>
  <c r="Y19" i="5"/>
  <c r="Y18" i="5"/>
  <c r="Y17" i="5"/>
  <c r="U33" i="5"/>
  <c r="U29" i="5"/>
  <c r="U28" i="5"/>
  <c r="H33" i="5"/>
  <c r="H29" i="5"/>
  <c r="H28" i="5"/>
  <c r="O1" i="8"/>
  <c r="V56" i="5"/>
  <c r="H56" i="5"/>
  <c r="V55" i="5"/>
  <c r="H55" i="5"/>
  <c r="V54" i="5"/>
  <c r="H54" i="5"/>
  <c r="V53" i="5"/>
  <c r="H53" i="5"/>
  <c r="V52" i="5"/>
  <c r="H52" i="5"/>
  <c r="V51" i="5"/>
  <c r="H51" i="5"/>
  <c r="V50" i="5"/>
  <c r="H50" i="5"/>
  <c r="V49" i="5"/>
  <c r="H49" i="5"/>
  <c r="V48" i="5"/>
  <c r="H48" i="5"/>
  <c r="V47" i="5"/>
  <c r="Q47" i="5"/>
  <c r="H47" i="5"/>
  <c r="V46" i="5"/>
  <c r="Q46" i="5"/>
  <c r="H46" i="5"/>
  <c r="V41" i="5"/>
  <c r="H41" i="5"/>
  <c r="V40" i="5"/>
  <c r="H40" i="5"/>
  <c r="V39" i="5"/>
  <c r="H39" i="5"/>
  <c r="V38" i="5"/>
  <c r="H38" i="5"/>
  <c r="V37" i="5"/>
  <c r="H37" i="5"/>
  <c r="V36" i="5"/>
  <c r="H36" i="5"/>
  <c r="V35" i="5"/>
  <c r="H35" i="5"/>
  <c r="V34" i="5"/>
  <c r="H34" i="5"/>
  <c r="V24" i="5"/>
  <c r="Q24" i="5"/>
  <c r="K24" i="5"/>
  <c r="H24" i="5" s="1"/>
  <c r="V23" i="5"/>
  <c r="Q23" i="5"/>
  <c r="K23" i="5"/>
  <c r="H23" i="5" s="1"/>
  <c r="V22" i="5"/>
  <c r="Q22" i="5"/>
  <c r="K22" i="5"/>
  <c r="H22" i="5" s="1"/>
  <c r="V21" i="5"/>
  <c r="Q21" i="5"/>
  <c r="K21" i="5"/>
  <c r="H21" i="5" s="1"/>
  <c r="V20" i="5"/>
  <c r="Q20" i="5"/>
  <c r="K20" i="5"/>
  <c r="H20" i="5" s="1"/>
  <c r="V19" i="5"/>
  <c r="Q19" i="5"/>
  <c r="K19" i="5"/>
  <c r="H19" i="5" s="1"/>
  <c r="V18" i="5"/>
  <c r="Q18" i="5"/>
  <c r="K18" i="5"/>
  <c r="H18" i="5" s="1"/>
  <c r="V17" i="5"/>
  <c r="Q17" i="5"/>
  <c r="K17" i="5"/>
  <c r="H17" i="5" s="1"/>
  <c r="H4" i="5"/>
  <c r="E3" i="7"/>
  <c r="U110" i="4"/>
  <c r="U77" i="4"/>
  <c r="C7" i="13"/>
  <c r="V28" i="5" l="1"/>
  <c r="W28" i="5"/>
  <c r="Y29" i="5"/>
  <c r="W29" i="5"/>
  <c r="V33" i="5"/>
  <c r="W33" i="5"/>
  <c r="R102" i="4"/>
  <c r="R29" i="9" s="1"/>
  <c r="R104" i="4"/>
  <c r="D6" i="13"/>
  <c r="M2" i="7"/>
  <c r="M3" i="7" s="1"/>
  <c r="V86" i="4"/>
  <c r="Y28" i="5"/>
  <c r="V29" i="5"/>
  <c r="Y33" i="5"/>
  <c r="C2" i="2"/>
  <c r="C15" i="13"/>
  <c r="T29" i="9" l="1"/>
  <c r="T30" i="9" s="1"/>
  <c r="T31" i="9" s="1"/>
  <c r="U116" i="4" s="1"/>
  <c r="R30" i="9"/>
  <c r="R31" i="9" s="1"/>
  <c r="U114" i="4" s="1"/>
  <c r="D15" i="13"/>
  <c r="C3" i="2"/>
  <c r="D2" i="14"/>
  <c r="C16" i="13"/>
  <c r="C27" i="13"/>
  <c r="V88" i="4" l="1"/>
  <c r="C4" i="2"/>
  <c r="D4" i="14" s="1"/>
  <c r="D3" i="14"/>
  <c r="C28" i="13"/>
  <c r="C17" i="13"/>
  <c r="R131" i="4" l="1"/>
  <c r="V90" i="4"/>
  <c r="AC8" i="6"/>
  <c r="O3" i="7" l="1"/>
  <c r="I18" i="9" l="1"/>
  <c r="I17" i="9"/>
  <c r="AB12" i="2" l="1"/>
  <c r="I6" i="8" l="1"/>
  <c r="I29" i="8" s="1"/>
  <c r="R125" i="4" l="1"/>
  <c r="R100" i="4"/>
  <c r="U98" i="4"/>
  <c r="R98" i="4"/>
  <c r="R96" i="4"/>
  <c r="R92" i="4"/>
  <c r="R94" i="4"/>
  <c r="E10" i="11" s="1"/>
  <c r="O10" i="11" s="1"/>
  <c r="D10" i="11" l="1"/>
  <c r="N10" i="11" s="1"/>
  <c r="C21" i="17"/>
  <c r="D7" i="17"/>
  <c r="G20" i="14"/>
  <c r="G17" i="14"/>
  <c r="G16" i="14"/>
  <c r="G15" i="14"/>
  <c r="G13" i="14"/>
  <c r="G24" i="14"/>
  <c r="G11" i="14"/>
  <c r="G10" i="14"/>
  <c r="G21" i="14"/>
  <c r="G19" i="14"/>
  <c r="G30" i="14"/>
  <c r="G18" i="14"/>
  <c r="G29" i="14"/>
  <c r="G28" i="14"/>
  <c r="G27" i="14"/>
  <c r="G25" i="14"/>
  <c r="G26" i="14"/>
  <c r="G14" i="14"/>
  <c r="G12" i="14"/>
  <c r="G23" i="14"/>
  <c r="G22" i="14"/>
  <c r="D4" i="11"/>
  <c r="N4" i="11" s="1"/>
  <c r="T7" i="8" l="1"/>
  <c r="B19" i="11" l="1"/>
  <c r="B20" i="11" s="1"/>
  <c r="B21" i="11" s="1"/>
  <c r="B22" i="11" s="1"/>
  <c r="B23" i="11" s="1"/>
  <c r="B24" i="11" s="1"/>
  <c r="B25" i="11" s="1"/>
  <c r="B26" i="11" s="1"/>
  <c r="B27" i="11" s="1"/>
  <c r="B28" i="11" s="1"/>
  <c r="B29" i="11" s="1"/>
  <c r="B30" i="11" s="1"/>
  <c r="B31" i="11" s="1"/>
  <c r="B32" i="11" s="1"/>
  <c r="B33" i="11" s="1"/>
  <c r="B34" i="11" s="1"/>
  <c r="B35" i="11" s="1"/>
  <c r="B36" i="11" s="1"/>
  <c r="F10" i="11"/>
  <c r="P10" i="11" s="1"/>
  <c r="AZ31" i="2" l="1"/>
  <c r="AZ30" i="2"/>
  <c r="BP1" i="2" l="1"/>
  <c r="S14" i="7" l="1"/>
  <c r="S15" i="7" s="1"/>
  <c r="S16" i="7" s="1"/>
  <c r="S17" i="7" s="1"/>
  <c r="S18" i="7" s="1"/>
  <c r="S19" i="7" s="1"/>
  <c r="S20" i="7" s="1"/>
  <c r="S21" i="7" s="1"/>
  <c r="S22" i="7" s="1"/>
  <c r="S23" i="7" s="1"/>
  <c r="S24" i="7" s="1"/>
  <c r="S25" i="7" s="1"/>
  <c r="S26" i="7" s="1"/>
  <c r="S27" i="7" s="1"/>
  <c r="S28" i="7" s="1"/>
  <c r="S29" i="7" s="1"/>
  <c r="S30" i="7" s="1"/>
  <c r="S31" i="7" s="1"/>
  <c r="S32" i="7" s="1"/>
  <c r="S33" i="7" s="1"/>
  <c r="S34" i="7" s="1"/>
  <c r="S35" i="7" s="1"/>
  <c r="P14" i="7"/>
  <c r="P15" i="7" s="1"/>
  <c r="P16" i="7" s="1"/>
  <c r="P17" i="7" s="1"/>
  <c r="P18" i="7" s="1"/>
  <c r="P19" i="7" s="1"/>
  <c r="P20" i="7" s="1"/>
  <c r="P21" i="7" s="1"/>
  <c r="P22" i="7" s="1"/>
  <c r="P23" i="7" s="1"/>
  <c r="P24" i="7" s="1"/>
  <c r="P25" i="7" s="1"/>
  <c r="P26" i="7" s="1"/>
  <c r="P27" i="7" s="1"/>
  <c r="P28" i="7" s="1"/>
  <c r="P29" i="7" s="1"/>
  <c r="P30" i="7" s="1"/>
  <c r="P31" i="7" s="1"/>
  <c r="P32" i="7" s="1"/>
  <c r="P33" i="7" s="1"/>
  <c r="P34" i="7" s="1"/>
  <c r="P35" i="7" s="1"/>
  <c r="F9" i="6" l="1"/>
  <c r="F10" i="6" s="1"/>
  <c r="F11" i="6" s="1"/>
  <c r="F12" i="6" s="1"/>
  <c r="F13" i="6" s="1"/>
  <c r="F14" i="6" s="1"/>
  <c r="F15" i="6" s="1"/>
  <c r="F16" i="6" s="1"/>
  <c r="F17" i="6" s="1"/>
  <c r="F18" i="6" s="1"/>
  <c r="F19" i="6" s="1"/>
  <c r="F20" i="6" s="1"/>
  <c r="F21" i="6" s="1"/>
  <c r="F22" i="6" s="1"/>
  <c r="F23" i="6" s="1"/>
  <c r="F24" i="6" s="1"/>
  <c r="F25" i="6" s="1"/>
  <c r="F26" i="6" s="1"/>
  <c r="F27" i="6" s="1"/>
  <c r="F28" i="6" s="1"/>
  <c r="F29" i="6" s="1"/>
  <c r="F30" i="6" s="1"/>
  <c r="F31" i="6" s="1"/>
  <c r="F32" i="6" s="1"/>
  <c r="F33" i="6" s="1"/>
  <c r="F34" i="6" s="1"/>
  <c r="F35" i="6" s="1"/>
  <c r="F36" i="6" s="1"/>
  <c r="N11" i="6" l="1"/>
  <c r="N12" i="6" s="1"/>
  <c r="N13" i="6" s="1"/>
  <c r="N14" i="6" s="1"/>
  <c r="N15" i="6" s="1"/>
  <c r="N16" i="6" s="1"/>
  <c r="N17" i="6" s="1"/>
  <c r="N18" i="6" s="1"/>
  <c r="N19" i="6" s="1"/>
  <c r="N20" i="6" s="1"/>
  <c r="N21" i="6" s="1"/>
  <c r="N22" i="6" s="1"/>
  <c r="N23" i="6" s="1"/>
  <c r="N24" i="6" s="1"/>
  <c r="N25" i="6" s="1"/>
  <c r="N26" i="6" s="1"/>
  <c r="N27" i="6" s="1"/>
  <c r="N28" i="6" s="1"/>
  <c r="N29" i="6" s="1"/>
  <c r="N30" i="6" s="1"/>
  <c r="N31" i="6" s="1"/>
  <c r="N32" i="6" s="1"/>
  <c r="N33" i="6" s="1"/>
  <c r="N34" i="6" s="1"/>
  <c r="N35" i="6" s="1"/>
  <c r="N36" i="6" s="1"/>
  <c r="V6" i="8" l="1"/>
  <c r="T134" i="4"/>
  <c r="M11" i="6"/>
  <c r="M12" i="6" s="1"/>
  <c r="M13" i="6" s="1"/>
  <c r="M14" i="6" s="1"/>
  <c r="M15" i="6" s="1"/>
  <c r="M16" i="6" s="1"/>
  <c r="M17" i="6" s="1"/>
  <c r="M18" i="6" s="1"/>
  <c r="M19" i="6" s="1"/>
  <c r="M20" i="6" s="1"/>
  <c r="M21" i="6" l="1"/>
  <c r="M22" i="6" s="1"/>
  <c r="M23" i="6" s="1"/>
  <c r="M24" i="6" s="1"/>
  <c r="M25" i="6" s="1"/>
  <c r="M26" i="6" s="1"/>
  <c r="M27" i="6" s="1"/>
  <c r="M28" i="6" s="1"/>
  <c r="M29" i="6" s="1"/>
  <c r="M30" i="6" s="1"/>
  <c r="M31" i="6" s="1"/>
  <c r="M32" i="6" s="1"/>
  <c r="M33" i="6" s="1"/>
  <c r="M34" i="6" s="1"/>
  <c r="M35" i="6" s="1"/>
  <c r="M36" i="6" s="1"/>
  <c r="H6" i="8"/>
  <c r="H29" i="8" s="1"/>
  <c r="M6" i="8"/>
  <c r="M29" i="8" s="1"/>
  <c r="M1" i="8"/>
  <c r="U6" i="8"/>
  <c r="A9" i="6" l="1"/>
  <c r="A10" i="6" s="1"/>
  <c r="Y9" i="6"/>
  <c r="Y10" i="6" s="1"/>
  <c r="Y11" i="6" s="1"/>
  <c r="Y12" i="6" s="1"/>
  <c r="Y13" i="6" s="1"/>
  <c r="Y14" i="6" s="1"/>
  <c r="Y15" i="6" s="1"/>
  <c r="Y16" i="6" s="1"/>
  <c r="Y17" i="6" s="1"/>
  <c r="Y18" i="6" s="1"/>
  <c r="Y19" i="6" s="1"/>
  <c r="Y20" i="6" s="1"/>
  <c r="Y21" i="6" s="1"/>
  <c r="Y22" i="6" s="1"/>
  <c r="Y23" i="6" s="1"/>
  <c r="Y24" i="6" s="1"/>
  <c r="Y25" i="6" s="1"/>
  <c r="Y26" i="6" s="1"/>
  <c r="Y27" i="6" s="1"/>
  <c r="Y28" i="6" s="1"/>
  <c r="Y29" i="6" s="1"/>
  <c r="Y30" i="6" s="1"/>
  <c r="Y31" i="6" s="1"/>
  <c r="Y32" i="6" s="1"/>
  <c r="Y33" i="6" s="1"/>
  <c r="Y34" i="6" s="1"/>
  <c r="Y35" i="6" s="1"/>
  <c r="Y36" i="6" s="1"/>
  <c r="AC9" i="6"/>
  <c r="AC10" i="6" s="1"/>
  <c r="AC11" i="6" s="1"/>
  <c r="AC12" i="6" s="1"/>
  <c r="AC13" i="6" s="1"/>
  <c r="AC14" i="6" s="1"/>
  <c r="AC15" i="6" s="1"/>
  <c r="AC16" i="6" s="1"/>
  <c r="AC17" i="6" l="1"/>
  <c r="AC18" i="6" s="1"/>
  <c r="AC19" i="6" s="1"/>
  <c r="AC20" i="6" s="1"/>
  <c r="AC21" i="6" s="1"/>
  <c r="AC22" i="6" s="1"/>
  <c r="AC23" i="6" s="1"/>
  <c r="AC24" i="6" s="1"/>
  <c r="AC25" i="6" s="1"/>
  <c r="AC26" i="6" s="1"/>
  <c r="AC27" i="6" s="1"/>
  <c r="AC28" i="6" s="1"/>
  <c r="AC29" i="6" s="1"/>
  <c r="AC30" i="6" s="1"/>
  <c r="AC31" i="6" s="1"/>
  <c r="AC32" i="6" s="1"/>
  <c r="AC33" i="6" s="1"/>
  <c r="AC34" i="6" s="1"/>
  <c r="AC35" i="6" s="1"/>
  <c r="AC36" i="6" s="1"/>
  <c r="Q9" i="6"/>
  <c r="Q10" i="6" s="1"/>
  <c r="Q11" i="6" s="1"/>
  <c r="P9" i="6"/>
  <c r="P10" i="6" s="1"/>
  <c r="P11" i="6" s="1"/>
  <c r="T9" i="6"/>
  <c r="T10" i="6" s="1"/>
  <c r="T11" i="6" s="1"/>
  <c r="S9" i="6"/>
  <c r="S10" i="6" s="1"/>
  <c r="S11" i="6" s="1"/>
  <c r="L9" i="6"/>
  <c r="L10" i="6" s="1"/>
  <c r="L11" i="6" s="1"/>
  <c r="L12" i="6" s="1"/>
  <c r="L13" i="6" s="1"/>
  <c r="L14" i="6" s="1"/>
  <c r="L15" i="6" s="1"/>
  <c r="L16" i="6" s="1"/>
  <c r="L17" i="6" s="1"/>
  <c r="L18" i="6" s="1"/>
  <c r="C9" i="6"/>
  <c r="H11" i="6"/>
  <c r="H12" i="6" s="1"/>
  <c r="H13" i="6" s="1"/>
  <c r="H14" i="6" s="1"/>
  <c r="H15" i="6" s="1"/>
  <c r="H16" i="6" s="1"/>
  <c r="H17" i="6" s="1"/>
  <c r="H18" i="6" s="1"/>
  <c r="H19" i="6" s="1"/>
  <c r="H20" i="6" s="1"/>
  <c r="E9" i="6"/>
  <c r="E10" i="6" s="1"/>
  <c r="E11" i="6" s="1"/>
  <c r="E12" i="6" s="1"/>
  <c r="E13" i="6" s="1"/>
  <c r="E14" i="6" s="1"/>
  <c r="E15" i="6" s="1"/>
  <c r="D9" i="6"/>
  <c r="D10" i="6" s="1"/>
  <c r="D11" i="6" s="1"/>
  <c r="D12" i="6" s="1"/>
  <c r="D13" i="6" s="1"/>
  <c r="D14" i="6" s="1"/>
  <c r="D15" i="6" s="1"/>
  <c r="B1" i="6"/>
  <c r="C1" i="6" s="1"/>
  <c r="D1" i="6" s="1"/>
  <c r="E1" i="6" s="1"/>
  <c r="F1" i="6" s="1"/>
  <c r="G1" i="6" s="1"/>
  <c r="H1" i="6" s="1"/>
  <c r="I1" i="6" s="1"/>
  <c r="J1" i="6" s="1"/>
  <c r="K1" i="6" s="1"/>
  <c r="L1" i="6" s="1"/>
  <c r="M1" i="6" s="1"/>
  <c r="N1" i="6" s="1"/>
  <c r="O1" i="6" s="1"/>
  <c r="P1" i="6" s="1"/>
  <c r="Q1" i="6" s="1"/>
  <c r="R1" i="6" s="1"/>
  <c r="S1" i="6" s="1"/>
  <c r="T1" i="6" s="1"/>
  <c r="U1" i="6" s="1"/>
  <c r="AA9" i="6"/>
  <c r="AA10" i="6" s="1"/>
  <c r="AA11" i="6" s="1"/>
  <c r="AA12" i="6" s="1"/>
  <c r="AA13" i="6" s="1"/>
  <c r="AA14" i="6" s="1"/>
  <c r="AA15" i="6" s="1"/>
  <c r="AA16" i="6" s="1"/>
  <c r="AA17" i="6" s="1"/>
  <c r="W9" i="6"/>
  <c r="W10" i="6" s="1"/>
  <c r="W11" i="6" s="1"/>
  <c r="W12" i="6" s="1"/>
  <c r="W13" i="6" s="1"/>
  <c r="W14" i="6" s="1"/>
  <c r="W15" i="6" s="1"/>
  <c r="W16" i="6" s="1"/>
  <c r="W17" i="6" s="1"/>
  <c r="W18" i="6" s="1"/>
  <c r="W19" i="6" s="1"/>
  <c r="AE9" i="6"/>
  <c r="K9" i="6"/>
  <c r="K10" i="6" s="1"/>
  <c r="K11" i="6" s="1"/>
  <c r="K12" i="6" s="1"/>
  <c r="K13" i="6" s="1"/>
  <c r="K14" i="6" s="1"/>
  <c r="A11" i="6"/>
  <c r="A12" i="6" s="1"/>
  <c r="A13" i="6" s="1"/>
  <c r="V1" i="6" l="1"/>
  <c r="W1" i="6" s="1"/>
  <c r="X1" i="6" s="1"/>
  <c r="Y1" i="6" s="1"/>
  <c r="Z1" i="6" s="1"/>
  <c r="AA1" i="6" s="1"/>
  <c r="AB1" i="6" s="1"/>
  <c r="AC1" i="6" s="1"/>
  <c r="AD1" i="6" s="1"/>
  <c r="AE1" i="6" s="1"/>
  <c r="F3" i="7"/>
  <c r="C6" i="8" s="1"/>
  <c r="D16" i="6"/>
  <c r="D17" i="6" s="1"/>
  <c r="D18" i="6" s="1"/>
  <c r="D19" i="6" s="1"/>
  <c r="D20" i="6" s="1"/>
  <c r="D21" i="6" s="1"/>
  <c r="D22" i="6" s="1"/>
  <c r="D23" i="6" s="1"/>
  <c r="D24" i="6" s="1"/>
  <c r="D25" i="6" s="1"/>
  <c r="D26" i="6" s="1"/>
  <c r="D27" i="6" s="1"/>
  <c r="D28" i="6" s="1"/>
  <c r="D29" i="6" s="1"/>
  <c r="D30" i="6" s="1"/>
  <c r="D31" i="6" s="1"/>
  <c r="D32" i="6" s="1"/>
  <c r="D33" i="6" s="1"/>
  <c r="D34" i="6" s="1"/>
  <c r="D35" i="6" s="1"/>
  <c r="D36" i="6" s="1"/>
  <c r="H21" i="6"/>
  <c r="H22" i="6" s="1"/>
  <c r="H23" i="6" s="1"/>
  <c r="H24" i="6" s="1"/>
  <c r="H25" i="6" s="1"/>
  <c r="H26" i="6" s="1"/>
  <c r="H27" i="6" s="1"/>
  <c r="H28" i="6" s="1"/>
  <c r="H29" i="6" s="1"/>
  <c r="H30" i="6" s="1"/>
  <c r="H31" i="6" s="1"/>
  <c r="H32" i="6" s="1"/>
  <c r="H33" i="6" s="1"/>
  <c r="H34" i="6" s="1"/>
  <c r="H35" i="6" s="1"/>
  <c r="H36" i="6" s="1"/>
  <c r="A14" i="6"/>
  <c r="A15" i="6" s="1"/>
  <c r="A16" i="6" s="1"/>
  <c r="A17" i="6" s="1"/>
  <c r="A18" i="6" s="1"/>
  <c r="A19" i="6" s="1"/>
  <c r="A20" i="6" s="1"/>
  <c r="A21" i="6" s="1"/>
  <c r="A22" i="6" s="1"/>
  <c r="E16" i="6"/>
  <c r="E17" i="6" s="1"/>
  <c r="E18" i="6" s="1"/>
  <c r="E19" i="6" s="1"/>
  <c r="E20" i="6" s="1"/>
  <c r="E21" i="6" s="1"/>
  <c r="E22" i="6" s="1"/>
  <c r="E23" i="6" s="1"/>
  <c r="E24" i="6" s="1"/>
  <c r="E25" i="6" s="1"/>
  <c r="E26" i="6" s="1"/>
  <c r="E27" i="6" s="1"/>
  <c r="E28" i="6" s="1"/>
  <c r="E29" i="6" s="1"/>
  <c r="E30" i="6" s="1"/>
  <c r="E31" i="6" s="1"/>
  <c r="E32" i="6" s="1"/>
  <c r="E33" i="6" s="1"/>
  <c r="E34" i="6" s="1"/>
  <c r="E35" i="6" s="1"/>
  <c r="E36" i="6" s="1"/>
  <c r="J10" i="6"/>
  <c r="J11" i="6" s="1"/>
  <c r="J12" i="6" s="1"/>
  <c r="K15" i="6"/>
  <c r="K16" i="6" s="1"/>
  <c r="K17" i="6" s="1"/>
  <c r="K18" i="6" s="1"/>
  <c r="K19" i="6" s="1"/>
  <c r="K20" i="6" s="1"/>
  <c r="K21" i="6" s="1"/>
  <c r="K22" i="6" s="1"/>
  <c r="K23" i="6" s="1"/>
  <c r="K24" i="6" s="1"/>
  <c r="K25" i="6" s="1"/>
  <c r="K26" i="6" s="1"/>
  <c r="K27" i="6" s="1"/>
  <c r="K28" i="6" s="1"/>
  <c r="K29" i="6" s="1"/>
  <c r="K30" i="6" s="1"/>
  <c r="K31" i="6" s="1"/>
  <c r="K32" i="6" s="1"/>
  <c r="K33" i="6" s="1"/>
  <c r="K34" i="6" s="1"/>
  <c r="K35" i="6" s="1"/>
  <c r="K36" i="6" s="1"/>
  <c r="C10" i="6"/>
  <c r="C11" i="6" s="1"/>
  <c r="C12" i="6" s="1"/>
  <c r="C13" i="6" s="1"/>
  <c r="C14" i="6" s="1"/>
  <c r="C15" i="6" s="1"/>
  <c r="W20" i="6"/>
  <c r="W21" i="6" s="1"/>
  <c r="W22" i="6" s="1"/>
  <c r="W23" i="6" s="1"/>
  <c r="W24" i="6" s="1"/>
  <c r="W25" i="6" s="1"/>
  <c r="W26" i="6" s="1"/>
  <c r="W27" i="6" s="1"/>
  <c r="W28" i="6" s="1"/>
  <c r="W29" i="6" s="1"/>
  <c r="W30" i="6" s="1"/>
  <c r="W31" i="6" s="1"/>
  <c r="W32" i="6" s="1"/>
  <c r="W33" i="6" s="1"/>
  <c r="W34" i="6" s="1"/>
  <c r="W35" i="6" s="1"/>
  <c r="W36" i="6" s="1"/>
  <c r="AA18" i="6"/>
  <c r="AA19" i="6" s="1"/>
  <c r="AA20" i="6" s="1"/>
  <c r="AA21" i="6" s="1"/>
  <c r="AA22" i="6" s="1"/>
  <c r="AA23" i="6" s="1"/>
  <c r="AA24" i="6" s="1"/>
  <c r="AA25" i="6" s="1"/>
  <c r="AA26" i="6" s="1"/>
  <c r="AA27" i="6" s="1"/>
  <c r="AA28" i="6" s="1"/>
  <c r="AA29" i="6" s="1"/>
  <c r="AA30" i="6" s="1"/>
  <c r="AA31" i="6" s="1"/>
  <c r="AA32" i="6" s="1"/>
  <c r="AA33" i="6" s="1"/>
  <c r="AA34" i="6" s="1"/>
  <c r="AA35" i="6" s="1"/>
  <c r="AA36" i="6" s="1"/>
  <c r="L19" i="6"/>
  <c r="L20" i="6" s="1"/>
  <c r="L21" i="6" s="1"/>
  <c r="L22" i="6" s="1"/>
  <c r="L23" i="6" s="1"/>
  <c r="L24" i="6" s="1"/>
  <c r="L25" i="6" s="1"/>
  <c r="L26" i="6" s="1"/>
  <c r="L27" i="6" s="1"/>
  <c r="L28" i="6" s="1"/>
  <c r="L29" i="6" s="1"/>
  <c r="L30" i="6" s="1"/>
  <c r="L31" i="6" s="1"/>
  <c r="L32" i="6" s="1"/>
  <c r="L33" i="6" s="1"/>
  <c r="L34" i="6" s="1"/>
  <c r="L35" i="6" s="1"/>
  <c r="L36" i="6" s="1"/>
  <c r="T12" i="6"/>
  <c r="T13" i="6" s="1"/>
  <c r="T14" i="6" s="1"/>
  <c r="T15" i="6" s="1"/>
  <c r="T16" i="6" s="1"/>
  <c r="T17" i="6" s="1"/>
  <c r="T18" i="6" s="1"/>
  <c r="T19" i="6" s="1"/>
  <c r="T20" i="6" s="1"/>
  <c r="T21" i="6" s="1"/>
  <c r="S12" i="6"/>
  <c r="S13" i="6" s="1"/>
  <c r="S14" i="6" s="1"/>
  <c r="S15" i="6" s="1"/>
  <c r="S16" i="6" s="1"/>
  <c r="S17" i="6" s="1"/>
  <c r="Q12" i="6"/>
  <c r="Q13" i="6" s="1"/>
  <c r="Q14" i="6" s="1"/>
  <c r="Q15" i="6" s="1"/>
  <c r="Q16" i="6" s="1"/>
  <c r="Q17" i="6" s="1"/>
  <c r="Q18" i="6" s="1"/>
  <c r="Q19" i="6" s="1"/>
  <c r="Q20" i="6" s="1"/>
  <c r="Q21" i="6" s="1"/>
  <c r="P12" i="6"/>
  <c r="P13" i="6" s="1"/>
  <c r="P14" i="6" s="1"/>
  <c r="P15" i="6" s="1"/>
  <c r="E5" i="7"/>
  <c r="AE10" i="6"/>
  <c r="D9" i="17" l="1"/>
  <c r="D11" i="17"/>
  <c r="D3" i="17"/>
  <c r="C7" i="8"/>
  <c r="C8" i="8" s="1"/>
  <c r="O7" i="8" s="1"/>
  <c r="Q7" i="8" s="1"/>
  <c r="C5" i="2"/>
  <c r="D4" i="2"/>
  <c r="E4" i="14" s="1"/>
  <c r="T22" i="6"/>
  <c r="T23" i="6" s="1"/>
  <c r="T24" i="6" s="1"/>
  <c r="T25" i="6" s="1"/>
  <c r="T26" i="6" s="1"/>
  <c r="T27" i="6" s="1"/>
  <c r="T28" i="6" s="1"/>
  <c r="T29" i="6" s="1"/>
  <c r="T30" i="6" s="1"/>
  <c r="T31" i="6" s="1"/>
  <c r="T32" i="6" s="1"/>
  <c r="T33" i="6" s="1"/>
  <c r="T34" i="6" s="1"/>
  <c r="T35" i="6" s="1"/>
  <c r="T36" i="6" s="1"/>
  <c r="A14" i="7"/>
  <c r="D185" i="4" s="1"/>
  <c r="E185" i="4" s="1"/>
  <c r="F185" i="4" s="1"/>
  <c r="G185" i="4" s="1"/>
  <c r="H185" i="4" s="1"/>
  <c r="I185" i="4" s="1"/>
  <c r="J185" i="4" s="1"/>
  <c r="K185" i="4" s="1"/>
  <c r="L185" i="4" s="1"/>
  <c r="M185" i="4" s="1"/>
  <c r="N185" i="4" s="1"/>
  <c r="O185" i="4" s="1"/>
  <c r="P185" i="4" s="1"/>
  <c r="Q185" i="4" s="1"/>
  <c r="R185" i="4" s="1"/>
  <c r="S185" i="4" s="1"/>
  <c r="T185" i="4" s="1"/>
  <c r="U185" i="4" s="1"/>
  <c r="V185" i="4" s="1"/>
  <c r="W185" i="4" s="1"/>
  <c r="X185" i="4" s="1"/>
  <c r="C16" i="6"/>
  <c r="C17" i="6" s="1"/>
  <c r="C18" i="6" s="1"/>
  <c r="C19" i="6" s="1"/>
  <c r="C20" i="6" s="1"/>
  <c r="C21" i="6" s="1"/>
  <c r="C22" i="6" s="1"/>
  <c r="C23" i="6" s="1"/>
  <c r="C24" i="6" s="1"/>
  <c r="C25" i="6" s="1"/>
  <c r="C26" i="6" s="1"/>
  <c r="C27" i="6" s="1"/>
  <c r="C28" i="6" s="1"/>
  <c r="C29" i="6" s="1"/>
  <c r="C30" i="6" s="1"/>
  <c r="C31" i="6" s="1"/>
  <c r="C32" i="6" s="1"/>
  <c r="C33" i="6" s="1"/>
  <c r="C34" i="6" s="1"/>
  <c r="C35" i="6" s="1"/>
  <c r="C36" i="6" s="1"/>
  <c r="A23" i="6"/>
  <c r="A24" i="6" s="1"/>
  <c r="A25" i="6" s="1"/>
  <c r="A26" i="6" s="1"/>
  <c r="A27" i="6" s="1"/>
  <c r="A28" i="6" s="1"/>
  <c r="A29" i="6" s="1"/>
  <c r="A30" i="6" s="1"/>
  <c r="A31" i="6" s="1"/>
  <c r="A32" i="6" s="1"/>
  <c r="A33" i="6" s="1"/>
  <c r="A34" i="6" s="1"/>
  <c r="A35" i="6" s="1"/>
  <c r="A36" i="6" s="1"/>
  <c r="P16" i="6"/>
  <c r="P17" i="6" s="1"/>
  <c r="P18" i="6" s="1"/>
  <c r="P19" i="6" s="1"/>
  <c r="P20" i="6" s="1"/>
  <c r="P21" i="6" s="1"/>
  <c r="P22" i="6" s="1"/>
  <c r="P23" i="6" s="1"/>
  <c r="P24" i="6" s="1"/>
  <c r="P25" i="6" s="1"/>
  <c r="P26" i="6" s="1"/>
  <c r="P27" i="6" s="1"/>
  <c r="P28" i="6" s="1"/>
  <c r="P29" i="6" s="1"/>
  <c r="P30" i="6" s="1"/>
  <c r="P31" i="6" s="1"/>
  <c r="P32" i="6" s="1"/>
  <c r="P33" i="6" s="1"/>
  <c r="P34" i="6" s="1"/>
  <c r="P35" i="6" s="1"/>
  <c r="P36" i="6" s="1"/>
  <c r="Q22" i="6"/>
  <c r="Q23" i="6" s="1"/>
  <c r="Q24" i="6" s="1"/>
  <c r="Q25" i="6" s="1"/>
  <c r="Q26" i="6" s="1"/>
  <c r="Q27" i="6" s="1"/>
  <c r="Q28" i="6" s="1"/>
  <c r="Q29" i="6" s="1"/>
  <c r="Q30" i="6" s="1"/>
  <c r="Q31" i="6" s="1"/>
  <c r="Q32" i="6" s="1"/>
  <c r="Q33" i="6" s="1"/>
  <c r="Q34" i="6" s="1"/>
  <c r="Q35" i="6" s="1"/>
  <c r="Q36" i="6" s="1"/>
  <c r="S18" i="6"/>
  <c r="S19" i="6" s="1"/>
  <c r="S20" i="6" s="1"/>
  <c r="S21" i="6" s="1"/>
  <c r="S22" i="6" s="1"/>
  <c r="S23" i="6" s="1"/>
  <c r="S24" i="6" s="1"/>
  <c r="S25" i="6" s="1"/>
  <c r="S26" i="6" s="1"/>
  <c r="S27" i="6" s="1"/>
  <c r="S28" i="6" s="1"/>
  <c r="S29" i="6" s="1"/>
  <c r="S30" i="6" s="1"/>
  <c r="S31" i="6" s="1"/>
  <c r="S32" i="6" s="1"/>
  <c r="S33" i="6" s="1"/>
  <c r="S34" i="6" s="1"/>
  <c r="S35" i="6" s="1"/>
  <c r="S36" i="6" s="1"/>
  <c r="J13" i="6"/>
  <c r="J14" i="6" s="1"/>
  <c r="J15" i="6" s="1"/>
  <c r="J16" i="6" s="1"/>
  <c r="J17" i="6" s="1"/>
  <c r="J18" i="6" s="1"/>
  <c r="J19" i="6" s="1"/>
  <c r="J20" i="6" s="1"/>
  <c r="J21" i="6" s="1"/>
  <c r="J22" i="6" s="1"/>
  <c r="J23" i="6" s="1"/>
  <c r="J24" i="6" s="1"/>
  <c r="J25" i="6" s="1"/>
  <c r="J26" i="6" s="1"/>
  <c r="J27" i="6" s="1"/>
  <c r="J28" i="6" s="1"/>
  <c r="J29" i="6" s="1"/>
  <c r="J30" i="6" s="1"/>
  <c r="J31" i="6" s="1"/>
  <c r="J32" i="6" s="1"/>
  <c r="J33" i="6" s="1"/>
  <c r="J34" i="6" s="1"/>
  <c r="J35" i="6" s="1"/>
  <c r="J36" i="6" s="1"/>
  <c r="AE11" i="6"/>
  <c r="E9" i="17" l="1"/>
  <c r="E3" i="17"/>
  <c r="E11" i="17"/>
  <c r="D21" i="17" s="1"/>
  <c r="H21" i="17" s="1"/>
  <c r="L21" i="17" s="1"/>
  <c r="R14" i="7"/>
  <c r="AH12" i="2" s="1"/>
  <c r="Q14" i="7"/>
  <c r="D5" i="14"/>
  <c r="M10" i="14" s="1"/>
  <c r="B12" i="2"/>
  <c r="B10" i="14"/>
  <c r="E7" i="7"/>
  <c r="E16" i="11"/>
  <c r="O16" i="11" s="1"/>
  <c r="N17" i="11" s="1"/>
  <c r="O17" i="11" s="1"/>
  <c r="N18" i="11" s="1"/>
  <c r="O18" i="11" s="1"/>
  <c r="N19" i="11" s="1"/>
  <c r="O19" i="11" s="1"/>
  <c r="N20" i="11" s="1"/>
  <c r="O20" i="11" s="1"/>
  <c r="N21" i="11" s="1"/>
  <c r="O21" i="11" s="1"/>
  <c r="N22" i="11" s="1"/>
  <c r="O22" i="11" s="1"/>
  <c r="N23" i="11" s="1"/>
  <c r="O23" i="11" s="1"/>
  <c r="N24" i="11" s="1"/>
  <c r="O24" i="11" s="1"/>
  <c r="N25" i="11" s="1"/>
  <c r="O25" i="11" s="1"/>
  <c r="N26" i="11" s="1"/>
  <c r="O26" i="11" s="1"/>
  <c r="N27" i="11" s="1"/>
  <c r="O27" i="11" s="1"/>
  <c r="N28" i="11" s="1"/>
  <c r="O28" i="11" s="1"/>
  <c r="N29" i="11" s="1"/>
  <c r="O29" i="11" s="1"/>
  <c r="N30" i="11" s="1"/>
  <c r="O30" i="11" s="1"/>
  <c r="N31" i="11" s="1"/>
  <c r="O31" i="11" s="1"/>
  <c r="N32" i="11" s="1"/>
  <c r="O32" i="11" s="1"/>
  <c r="N33" i="11" s="1"/>
  <c r="O33" i="11" s="1"/>
  <c r="N34" i="11" s="1"/>
  <c r="O34" i="11" s="1"/>
  <c r="N35" i="11" s="1"/>
  <c r="O35" i="11" s="1"/>
  <c r="N36" i="11" s="1"/>
  <c r="C9" i="8"/>
  <c r="C10" i="8" s="1"/>
  <c r="O9" i="8" s="1"/>
  <c r="Q9" i="8" s="1"/>
  <c r="O6" i="8"/>
  <c r="Q6" i="8" s="1"/>
  <c r="U12" i="2"/>
  <c r="AZ12" i="2"/>
  <c r="D5" i="2"/>
  <c r="AB14" i="7"/>
  <c r="H14" i="7"/>
  <c r="O14" i="7"/>
  <c r="M14" i="7"/>
  <c r="AD14" i="7"/>
  <c r="I14" i="7"/>
  <c r="Z14" i="7"/>
  <c r="G14" i="7"/>
  <c r="AF14" i="7"/>
  <c r="X14" i="7"/>
  <c r="L14" i="7"/>
  <c r="F14" i="7"/>
  <c r="M9" i="7"/>
  <c r="B6" i="8"/>
  <c r="D14" i="7"/>
  <c r="A15" i="7"/>
  <c r="AE12" i="6"/>
  <c r="AE13" i="6" s="1"/>
  <c r="X96" i="17" l="1"/>
  <c r="O21" i="17"/>
  <c r="E5" i="17"/>
  <c r="O26" i="17" s="1"/>
  <c r="E7" i="17"/>
  <c r="L19" i="17" s="1"/>
  <c r="J9" i="17" s="1"/>
  <c r="J5" i="17"/>
  <c r="R15" i="7"/>
  <c r="AH13" i="2" s="1"/>
  <c r="K4" i="16"/>
  <c r="Q15" i="7"/>
  <c r="O10" i="14"/>
  <c r="E5" i="14"/>
  <c r="O30" i="14" s="1"/>
  <c r="BL12" i="2"/>
  <c r="B13" i="2"/>
  <c r="B11" i="14"/>
  <c r="D10" i="14"/>
  <c r="U14" i="7"/>
  <c r="F7" i="7"/>
  <c r="O8" i="8"/>
  <c r="Q8" i="8" s="1"/>
  <c r="D17" i="11"/>
  <c r="C11" i="8"/>
  <c r="O10" i="8" s="1"/>
  <c r="Q10" i="8" s="1"/>
  <c r="V12" i="2"/>
  <c r="AZ32" i="2"/>
  <c r="G15" i="7"/>
  <c r="AB15" i="7"/>
  <c r="O15" i="7"/>
  <c r="H15" i="7"/>
  <c r="AD15" i="7"/>
  <c r="I15" i="7"/>
  <c r="Z15" i="7"/>
  <c r="M15" i="7"/>
  <c r="AF15" i="7"/>
  <c r="X15" i="7"/>
  <c r="L15" i="7"/>
  <c r="F15" i="7"/>
  <c r="J14" i="7"/>
  <c r="BS12" i="2" s="1"/>
  <c r="BM12" i="2"/>
  <c r="AV12" i="2"/>
  <c r="CK12" i="2"/>
  <c r="B7" i="8"/>
  <c r="BU12" i="2"/>
  <c r="AD12" i="2"/>
  <c r="AL12" i="2" s="1"/>
  <c r="D12" i="2"/>
  <c r="E6" i="8"/>
  <c r="D15" i="7"/>
  <c r="A16" i="7"/>
  <c r="AE14" i="6"/>
  <c r="O4" i="16" l="1"/>
  <c r="K8" i="16" s="1"/>
  <c r="E21" i="16"/>
  <c r="L23" i="17"/>
  <c r="X95" i="17"/>
  <c r="O19" i="17"/>
  <c r="O23" i="17" s="1"/>
  <c r="O38" i="17" s="1"/>
  <c r="H19" i="17"/>
  <c r="J11" i="17" s="1"/>
  <c r="D26" i="17"/>
  <c r="D19" i="17"/>
  <c r="H26" i="17"/>
  <c r="X56" i="17" s="1"/>
  <c r="K17" i="16"/>
  <c r="G17" i="16"/>
  <c r="K15" i="16"/>
  <c r="R16" i="7"/>
  <c r="AH14" i="2" s="1"/>
  <c r="Q16" i="7"/>
  <c r="BJ12" i="2"/>
  <c r="E10" i="14"/>
  <c r="F10" i="14" s="1"/>
  <c r="S16" i="11"/>
  <c r="M30" i="14"/>
  <c r="BL13" i="2"/>
  <c r="BM13" i="2"/>
  <c r="D11" i="14"/>
  <c r="B14" i="2"/>
  <c r="B12" i="14"/>
  <c r="U15" i="7"/>
  <c r="AT12" i="2"/>
  <c r="AU12" i="2" s="1"/>
  <c r="AW12" i="2" s="1"/>
  <c r="AQ12" i="2" s="1"/>
  <c r="AB13" i="2"/>
  <c r="E17" i="11"/>
  <c r="D18" i="11" s="1"/>
  <c r="J15" i="7"/>
  <c r="BS13" i="2" s="1"/>
  <c r="C12" i="8"/>
  <c r="O11" i="8" s="1"/>
  <c r="Q11" i="8" s="1"/>
  <c r="U13" i="2"/>
  <c r="AB16" i="7"/>
  <c r="O16" i="7"/>
  <c r="H16" i="7"/>
  <c r="F16" i="7"/>
  <c r="M16" i="7"/>
  <c r="G16" i="7"/>
  <c r="AD16" i="7"/>
  <c r="I16" i="7"/>
  <c r="AF16" i="7"/>
  <c r="L16" i="7"/>
  <c r="Z16" i="7"/>
  <c r="X16" i="7"/>
  <c r="BU13" i="2"/>
  <c r="AD13" i="2"/>
  <c r="AL13" i="2" s="1"/>
  <c r="V7" i="8"/>
  <c r="CM12" i="2"/>
  <c r="CK13" i="2"/>
  <c r="AV13" i="2"/>
  <c r="Y13" i="2"/>
  <c r="AE13" i="2" s="1"/>
  <c r="AM13" i="2" s="1"/>
  <c r="B8" i="8"/>
  <c r="Y12" i="2"/>
  <c r="D13" i="2"/>
  <c r="E7" i="8"/>
  <c r="D16" i="7"/>
  <c r="A17" i="7"/>
  <c r="R17" i="7" s="1"/>
  <c r="AH15" i="2" s="1"/>
  <c r="AE15" i="6"/>
  <c r="O41" i="17" l="1"/>
  <c r="X87" i="17" s="1"/>
  <c r="X92" i="17"/>
  <c r="G21" i="16"/>
  <c r="K21" i="16"/>
  <c r="X86" i="17"/>
  <c r="K6" i="17"/>
  <c r="X31" i="17"/>
  <c r="X57" i="17"/>
  <c r="X28" i="17"/>
  <c r="H23" i="17"/>
  <c r="X85" i="17"/>
  <c r="J7" i="17"/>
  <c r="D23" i="17"/>
  <c r="X46" i="17"/>
  <c r="X47" i="17"/>
  <c r="J6" i="17"/>
  <c r="X27" i="17"/>
  <c r="L38" i="17"/>
  <c r="X22" i="17"/>
  <c r="G15" i="16"/>
  <c r="G19" i="16" s="1"/>
  <c r="Q17" i="16"/>
  <c r="S17" i="16" s="1"/>
  <c r="M17" i="16"/>
  <c r="Q15" i="16"/>
  <c r="S15" i="16" s="1"/>
  <c r="M15" i="16"/>
  <c r="K23" i="16"/>
  <c r="M23" i="16" s="1"/>
  <c r="G23" i="16"/>
  <c r="AN13" i="2"/>
  <c r="Q17" i="7"/>
  <c r="BJ13" i="2"/>
  <c r="E11" i="14"/>
  <c r="F11" i="14" s="1"/>
  <c r="S17" i="11"/>
  <c r="BL14" i="2"/>
  <c r="D12" i="14"/>
  <c r="AD14" i="2"/>
  <c r="B15" i="2"/>
  <c r="B13" i="14"/>
  <c r="U16" i="7"/>
  <c r="AT13" i="2"/>
  <c r="AU13" i="2" s="1"/>
  <c r="AW13" i="2" s="1"/>
  <c r="AQ13" i="2" s="1"/>
  <c r="AB14" i="2"/>
  <c r="T8" i="8"/>
  <c r="E18" i="11"/>
  <c r="D19" i="11" s="1"/>
  <c r="C13" i="8"/>
  <c r="O12" i="8" s="1"/>
  <c r="Q12" i="8" s="1"/>
  <c r="AD17" i="7"/>
  <c r="AB17" i="7"/>
  <c r="I17" i="7"/>
  <c r="O17" i="7"/>
  <c r="H17" i="7"/>
  <c r="AF17" i="7"/>
  <c r="X17" i="7"/>
  <c r="L17" i="7"/>
  <c r="F17" i="7"/>
  <c r="Z17" i="7"/>
  <c r="M17" i="7"/>
  <c r="G17" i="7"/>
  <c r="J16" i="7"/>
  <c r="BS14" i="2" s="1"/>
  <c r="V13" i="2"/>
  <c r="CM13" i="2"/>
  <c r="V8" i="8"/>
  <c r="AV14" i="2"/>
  <c r="BM14" i="2"/>
  <c r="CK14" i="2"/>
  <c r="V14" i="2"/>
  <c r="B9" i="8"/>
  <c r="BU14" i="2"/>
  <c r="D14" i="2"/>
  <c r="E8" i="8"/>
  <c r="D17" i="7"/>
  <c r="A18" i="7"/>
  <c r="R18" i="7" s="1"/>
  <c r="AH16" i="2" s="1"/>
  <c r="AE16" i="6"/>
  <c r="AE17" i="6" s="1"/>
  <c r="E46" i="17"/>
  <c r="M19" i="16" l="1"/>
  <c r="S19" i="16"/>
  <c r="L41" i="17"/>
  <c r="X97" i="17" s="1"/>
  <c r="X102" i="17"/>
  <c r="M21" i="16"/>
  <c r="M27" i="16" s="1"/>
  <c r="M31" i="16" s="1"/>
  <c r="R58" i="4" s="1"/>
  <c r="Q21" i="16"/>
  <c r="S21" i="16" s="1"/>
  <c r="S27" i="16" s="1"/>
  <c r="S31" i="16" s="1"/>
  <c r="R60" i="4" s="1"/>
  <c r="G145" i="4"/>
  <c r="X11" i="17"/>
  <c r="X21" i="17"/>
  <c r="H38" i="17"/>
  <c r="X62" i="17" s="1"/>
  <c r="X18" i="17"/>
  <c r="X45" i="17"/>
  <c r="X55" i="17"/>
  <c r="X17" i="17"/>
  <c r="D38" i="17"/>
  <c r="X61" i="17" s="1"/>
  <c r="G27" i="16"/>
  <c r="G31" i="16" s="1"/>
  <c r="R56" i="4" s="1"/>
  <c r="AL14" i="2"/>
  <c r="Q18" i="7"/>
  <c r="BJ14" i="2"/>
  <c r="E12" i="14"/>
  <c r="F12" i="14" s="1"/>
  <c r="S18" i="11"/>
  <c r="U17" i="7"/>
  <c r="B16" i="2"/>
  <c r="B14" i="14"/>
  <c r="D13" i="14"/>
  <c r="BL15" i="2"/>
  <c r="AT14" i="2"/>
  <c r="AU14" i="2" s="1"/>
  <c r="AW14" i="2" s="1"/>
  <c r="AQ14" i="2" s="1"/>
  <c r="AB15" i="2"/>
  <c r="T9" i="8"/>
  <c r="E19" i="11"/>
  <c r="D20" i="11" s="1"/>
  <c r="C14" i="8"/>
  <c r="O13" i="8" s="1"/>
  <c r="Q13" i="8" s="1"/>
  <c r="J17" i="7"/>
  <c r="BS15" i="2" s="1"/>
  <c r="F18" i="7"/>
  <c r="AD18" i="7"/>
  <c r="I18" i="7"/>
  <c r="O18" i="7"/>
  <c r="H18" i="7"/>
  <c r="AF18" i="7"/>
  <c r="X18" i="7"/>
  <c r="L18" i="7"/>
  <c r="Z18" i="7"/>
  <c r="M18" i="7"/>
  <c r="G18" i="7"/>
  <c r="AB18" i="7"/>
  <c r="DC12" i="2"/>
  <c r="DC13" i="2"/>
  <c r="CM14" i="2"/>
  <c r="V9" i="8"/>
  <c r="AD15" i="2"/>
  <c r="AL15" i="2" s="1"/>
  <c r="Y15" i="2"/>
  <c r="AE15" i="2" s="1"/>
  <c r="AM15" i="2" s="1"/>
  <c r="BM15" i="2"/>
  <c r="Y14" i="2"/>
  <c r="AE14" i="2" s="1"/>
  <c r="AM14" i="2" s="1"/>
  <c r="B10" i="8"/>
  <c r="BU15" i="2"/>
  <c r="CK15" i="2"/>
  <c r="AV15" i="2"/>
  <c r="D15" i="2"/>
  <c r="E9" i="8"/>
  <c r="D18" i="7"/>
  <c r="A19" i="7"/>
  <c r="R19" i="7" s="1"/>
  <c r="AH17" i="2" s="1"/>
  <c r="E45" i="17"/>
  <c r="E47" i="17"/>
  <c r="S144" i="4" l="1"/>
  <c r="G146" i="4"/>
  <c r="X52" i="17"/>
  <c r="X51" i="17"/>
  <c r="H41" i="17"/>
  <c r="X58" i="17" s="1"/>
  <c r="G144" i="4"/>
  <c r="V11" i="17"/>
  <c r="J7" i="8" s="1"/>
  <c r="X50" i="17"/>
  <c r="D41" i="17"/>
  <c r="X48" i="17" s="1"/>
  <c r="X60" i="17"/>
  <c r="AN15" i="2"/>
  <c r="AN14" i="2"/>
  <c r="Q19" i="7"/>
  <c r="BJ15" i="2"/>
  <c r="E13" i="14"/>
  <c r="F13" i="14" s="1"/>
  <c r="S19" i="11"/>
  <c r="D14" i="14"/>
  <c r="B17" i="2"/>
  <c r="B15" i="14"/>
  <c r="BL16" i="2"/>
  <c r="U18" i="7"/>
  <c r="AD16" i="2"/>
  <c r="AT15" i="2"/>
  <c r="AU15" i="2" s="1"/>
  <c r="AW15" i="2" s="1"/>
  <c r="AQ15" i="2" s="1"/>
  <c r="AB16" i="2"/>
  <c r="T10" i="8"/>
  <c r="E20" i="11"/>
  <c r="D21" i="11" s="1"/>
  <c r="C15" i="8"/>
  <c r="O14" i="8" s="1"/>
  <c r="Q14" i="8" s="1"/>
  <c r="AD19" i="7"/>
  <c r="I19" i="7"/>
  <c r="G19" i="7"/>
  <c r="Z19" i="7"/>
  <c r="AF19" i="7"/>
  <c r="X19" i="7"/>
  <c r="L19" i="7"/>
  <c r="F19" i="7"/>
  <c r="O19" i="7"/>
  <c r="H19" i="7"/>
  <c r="M19" i="7"/>
  <c r="AB19" i="7"/>
  <c r="J18" i="7"/>
  <c r="BS16" i="2" s="1"/>
  <c r="V15" i="2"/>
  <c r="V10" i="8"/>
  <c r="Y16" i="2"/>
  <c r="AE16" i="2" s="1"/>
  <c r="AM16" i="2" s="1"/>
  <c r="CM15" i="2"/>
  <c r="AV16" i="2"/>
  <c r="CK16" i="2"/>
  <c r="BM16" i="2"/>
  <c r="BU16" i="2"/>
  <c r="D16" i="2"/>
  <c r="E10" i="8"/>
  <c r="B11" i="8"/>
  <c r="D19" i="7"/>
  <c r="A20" i="7"/>
  <c r="R20" i="7" s="1"/>
  <c r="AH18" i="2" s="1"/>
  <c r="AE18" i="6"/>
  <c r="E48" i="17"/>
  <c r="E50" i="17"/>
  <c r="E52" i="17"/>
  <c r="E51" i="17"/>
  <c r="J11" i="8" l="1"/>
  <c r="J8" i="8"/>
  <c r="J9" i="8"/>
  <c r="J10" i="8"/>
  <c r="G147" i="4"/>
  <c r="G149" i="4"/>
  <c r="G150" i="4"/>
  <c r="AL16" i="2"/>
  <c r="AN16" i="2" s="1"/>
  <c r="Q20" i="7"/>
  <c r="BJ16" i="2"/>
  <c r="E14" i="14"/>
  <c r="F14" i="14" s="1"/>
  <c r="S20" i="11"/>
  <c r="D15" i="14"/>
  <c r="BL17" i="2"/>
  <c r="B18" i="2"/>
  <c r="B16" i="14"/>
  <c r="U19" i="7"/>
  <c r="AT16" i="2"/>
  <c r="AU16" i="2" s="1"/>
  <c r="AW16" i="2" s="1"/>
  <c r="AQ16" i="2" s="1"/>
  <c r="AB17" i="2"/>
  <c r="T11" i="8"/>
  <c r="E21" i="11"/>
  <c r="D22" i="11" s="1"/>
  <c r="J19" i="7"/>
  <c r="BS17" i="2" s="1"/>
  <c r="C16" i="8"/>
  <c r="O15" i="8" s="1"/>
  <c r="Q15" i="8" s="1"/>
  <c r="AF20" i="7"/>
  <c r="L20" i="7"/>
  <c r="G20" i="7"/>
  <c r="X20" i="7"/>
  <c r="F20" i="7"/>
  <c r="I20" i="7"/>
  <c r="Z20" i="7"/>
  <c r="M20" i="7"/>
  <c r="AB20" i="7"/>
  <c r="O20" i="7"/>
  <c r="H20" i="7"/>
  <c r="AD20" i="7"/>
  <c r="DC14" i="2"/>
  <c r="DC15" i="2"/>
  <c r="V11" i="8"/>
  <c r="CM16" i="2"/>
  <c r="V16" i="2"/>
  <c r="AD17" i="2"/>
  <c r="AL17" i="2" s="1"/>
  <c r="BU17" i="2"/>
  <c r="BM17" i="2"/>
  <c r="Y17" i="2"/>
  <c r="AE17" i="2" s="1"/>
  <c r="AM17" i="2" s="1"/>
  <c r="CK17" i="2"/>
  <c r="AV17" i="2"/>
  <c r="D17" i="2"/>
  <c r="E11" i="8"/>
  <c r="B12" i="8"/>
  <c r="J12" i="8" s="1"/>
  <c r="D20" i="7"/>
  <c r="A21" i="7"/>
  <c r="R21" i="7" s="1"/>
  <c r="AH19" i="2" s="1"/>
  <c r="AE19" i="6"/>
  <c r="AN17" i="2" l="1"/>
  <c r="Q21" i="7"/>
  <c r="BJ17" i="2"/>
  <c r="E15" i="14"/>
  <c r="F15" i="14" s="1"/>
  <c r="S21" i="11"/>
  <c r="BL18" i="2"/>
  <c r="D16" i="14"/>
  <c r="U20" i="7"/>
  <c r="B19" i="2"/>
  <c r="B17" i="14"/>
  <c r="AT17" i="2"/>
  <c r="AU17" i="2" s="1"/>
  <c r="AW17" i="2" s="1"/>
  <c r="AQ17" i="2" s="1"/>
  <c r="AB18" i="2"/>
  <c r="T12" i="8"/>
  <c r="E22" i="11"/>
  <c r="D23" i="11" s="1"/>
  <c r="C17" i="8"/>
  <c r="O16" i="8" s="1"/>
  <c r="Q16" i="8" s="1"/>
  <c r="AF21" i="7"/>
  <c r="X21" i="7"/>
  <c r="L21" i="7"/>
  <c r="F21" i="7"/>
  <c r="AD21" i="7"/>
  <c r="Z21" i="7"/>
  <c r="M21" i="7"/>
  <c r="G21" i="7"/>
  <c r="I21" i="7"/>
  <c r="AB21" i="7"/>
  <c r="O21" i="7"/>
  <c r="H21" i="7"/>
  <c r="J20" i="7"/>
  <c r="BS18" i="2" s="1"/>
  <c r="DC16" i="2"/>
  <c r="V17" i="2"/>
  <c r="V12" i="8"/>
  <c r="BM18" i="2"/>
  <c r="CK18" i="2"/>
  <c r="AV18" i="2"/>
  <c r="CM17" i="2"/>
  <c r="Y18" i="2"/>
  <c r="AE18" i="2" s="1"/>
  <c r="AM18" i="2" s="1"/>
  <c r="BU18" i="2"/>
  <c r="AD18" i="2"/>
  <c r="D18" i="2"/>
  <c r="E12" i="8"/>
  <c r="B13" i="8"/>
  <c r="J13" i="8" s="1"/>
  <c r="D21" i="7"/>
  <c r="A22" i="7"/>
  <c r="R22" i="7" s="1"/>
  <c r="AH20" i="2" s="1"/>
  <c r="AE20" i="6"/>
  <c r="AL18" i="2" l="1"/>
  <c r="AN18" i="2" s="1"/>
  <c r="Q22" i="7"/>
  <c r="BJ18" i="2"/>
  <c r="E16" i="14"/>
  <c r="F16" i="14" s="1"/>
  <c r="S22" i="11"/>
  <c r="D17" i="14"/>
  <c r="B20" i="2"/>
  <c r="B18" i="14"/>
  <c r="BL19" i="2"/>
  <c r="U21" i="7"/>
  <c r="AT18" i="2"/>
  <c r="AU18" i="2" s="1"/>
  <c r="AW18" i="2" s="1"/>
  <c r="AQ18" i="2" s="1"/>
  <c r="AB19" i="2"/>
  <c r="T13" i="8"/>
  <c r="E23" i="11"/>
  <c r="D24" i="11" s="1"/>
  <c r="C18" i="8"/>
  <c r="O17" i="8" s="1"/>
  <c r="Q17" i="8" s="1"/>
  <c r="AF22" i="7"/>
  <c r="X22" i="7"/>
  <c r="L22" i="7"/>
  <c r="F22" i="7"/>
  <c r="AB22" i="7"/>
  <c r="O22" i="7"/>
  <c r="Z22" i="7"/>
  <c r="M22" i="7"/>
  <c r="G22" i="7"/>
  <c r="I22" i="7"/>
  <c r="H22" i="7"/>
  <c r="AD22" i="7"/>
  <c r="J21" i="7"/>
  <c r="BS19" i="2" s="1"/>
  <c r="DC17" i="2"/>
  <c r="V13" i="8"/>
  <c r="CM18" i="2"/>
  <c r="V18" i="2"/>
  <c r="BU19" i="2"/>
  <c r="BM19" i="2"/>
  <c r="CK19" i="2"/>
  <c r="Y19" i="2"/>
  <c r="AE19" i="2" s="1"/>
  <c r="AM19" i="2" s="1"/>
  <c r="AV19" i="2"/>
  <c r="AD19" i="2"/>
  <c r="D19" i="2"/>
  <c r="E13" i="8"/>
  <c r="B14" i="8"/>
  <c r="J14" i="8" s="1"/>
  <c r="D22" i="7"/>
  <c r="A23" i="7"/>
  <c r="R23" i="7" s="1"/>
  <c r="AH21" i="2" s="1"/>
  <c r="AE21" i="6"/>
  <c r="AL19" i="2" l="1"/>
  <c r="AN19" i="2" s="1"/>
  <c r="Q23" i="7"/>
  <c r="BJ19" i="2"/>
  <c r="E17" i="14"/>
  <c r="F17" i="14" s="1"/>
  <c r="S23" i="11"/>
  <c r="BL20" i="2"/>
  <c r="B21" i="2"/>
  <c r="B19" i="14"/>
  <c r="D18" i="14"/>
  <c r="U22" i="7"/>
  <c r="AT19" i="2"/>
  <c r="AU19" i="2" s="1"/>
  <c r="AW19" i="2" s="1"/>
  <c r="AQ19" i="2" s="1"/>
  <c r="AB20" i="2"/>
  <c r="T14" i="8"/>
  <c r="E24" i="11"/>
  <c r="D25" i="11" s="1"/>
  <c r="C19" i="8"/>
  <c r="O18" i="8" s="1"/>
  <c r="Q18" i="8" s="1"/>
  <c r="M23" i="7"/>
  <c r="Z23" i="7"/>
  <c r="G23" i="7"/>
  <c r="H23" i="7"/>
  <c r="X23" i="7"/>
  <c r="F23" i="7"/>
  <c r="AF23" i="7"/>
  <c r="AB23" i="7"/>
  <c r="O23" i="7"/>
  <c r="L23" i="7"/>
  <c r="AD23" i="7"/>
  <c r="I23" i="7"/>
  <c r="J22" i="7"/>
  <c r="BS20" i="2" s="1"/>
  <c r="DC18" i="2"/>
  <c r="V19" i="2"/>
  <c r="AD20" i="2"/>
  <c r="V14" i="8"/>
  <c r="CM19" i="2"/>
  <c r="BU20" i="2"/>
  <c r="CK20" i="2"/>
  <c r="AV20" i="2"/>
  <c r="BM20" i="2"/>
  <c r="D20" i="2"/>
  <c r="E14" i="8"/>
  <c r="B15" i="8"/>
  <c r="J15" i="8" s="1"/>
  <c r="D23" i="7"/>
  <c r="A24" i="7"/>
  <c r="R24" i="7" s="1"/>
  <c r="AH22" i="2" s="1"/>
  <c r="AE22" i="6"/>
  <c r="AL20" i="2" l="1"/>
  <c r="Q24" i="7"/>
  <c r="BJ20" i="2"/>
  <c r="E18" i="14"/>
  <c r="F18" i="14" s="1"/>
  <c r="S24" i="11"/>
  <c r="BL21" i="2"/>
  <c r="U23" i="7"/>
  <c r="D19" i="14"/>
  <c r="B22" i="2"/>
  <c r="B20" i="14"/>
  <c r="AT20" i="2"/>
  <c r="AU20" i="2" s="1"/>
  <c r="AW20" i="2" s="1"/>
  <c r="AQ20" i="2" s="1"/>
  <c r="AB21" i="2"/>
  <c r="T15" i="8"/>
  <c r="E25" i="11"/>
  <c r="D26" i="11" s="1"/>
  <c r="C20" i="8"/>
  <c r="O19" i="8" s="1"/>
  <c r="Q19" i="8" s="1"/>
  <c r="L24" i="7"/>
  <c r="Z24" i="7"/>
  <c r="M24" i="7"/>
  <c r="G24" i="7"/>
  <c r="AB24" i="7"/>
  <c r="O24" i="7"/>
  <c r="H24" i="7"/>
  <c r="AF24" i="7"/>
  <c r="F24" i="7"/>
  <c r="AD24" i="7"/>
  <c r="I24" i="7"/>
  <c r="X24" i="7"/>
  <c r="J23" i="7"/>
  <c r="BS21" i="2" s="1"/>
  <c r="DC19" i="2"/>
  <c r="CM20" i="2"/>
  <c r="V20" i="2"/>
  <c r="Y20" i="2"/>
  <c r="AE20" i="2" s="1"/>
  <c r="AM20" i="2" s="1"/>
  <c r="V15" i="8"/>
  <c r="AD21" i="2"/>
  <c r="AL21" i="2" s="1"/>
  <c r="BU21" i="2"/>
  <c r="Y21" i="2"/>
  <c r="AE21" i="2" s="1"/>
  <c r="AM21" i="2" s="1"/>
  <c r="CK21" i="2"/>
  <c r="BM21" i="2"/>
  <c r="AV21" i="2"/>
  <c r="D21" i="2"/>
  <c r="E15" i="8"/>
  <c r="B16" i="8"/>
  <c r="J16" i="8" s="1"/>
  <c r="D24" i="7"/>
  <c r="A25" i="7"/>
  <c r="R25" i="7" s="1"/>
  <c r="AH23" i="2" s="1"/>
  <c r="AE23" i="6"/>
  <c r="AN21" i="2" l="1"/>
  <c r="AN20" i="2"/>
  <c r="Q25" i="7"/>
  <c r="BJ21" i="2"/>
  <c r="E19" i="14"/>
  <c r="F19" i="14" s="1"/>
  <c r="S25" i="11"/>
  <c r="BL22" i="2"/>
  <c r="B23" i="2"/>
  <c r="B21" i="14"/>
  <c r="D20" i="14"/>
  <c r="U24" i="7"/>
  <c r="AT21" i="2"/>
  <c r="AU21" i="2" s="1"/>
  <c r="AW21" i="2" s="1"/>
  <c r="AQ21" i="2" s="1"/>
  <c r="AB22" i="2"/>
  <c r="T16" i="8"/>
  <c r="E26" i="11"/>
  <c r="D27" i="11" s="1"/>
  <c r="C21" i="8"/>
  <c r="O20" i="8" s="1"/>
  <c r="Q20" i="8" s="1"/>
  <c r="J24" i="7"/>
  <c r="BS22" i="2" s="1"/>
  <c r="Z25" i="7"/>
  <c r="M25" i="7"/>
  <c r="G25" i="7"/>
  <c r="AD25" i="7"/>
  <c r="I25" i="7"/>
  <c r="X25" i="7"/>
  <c r="AB25" i="7"/>
  <c r="O25" i="7"/>
  <c r="H25" i="7"/>
  <c r="F25" i="7"/>
  <c r="AF25" i="7"/>
  <c r="L25" i="7"/>
  <c r="V16" i="8"/>
  <c r="CM21" i="2"/>
  <c r="V21" i="2"/>
  <c r="CK22" i="2"/>
  <c r="AV22" i="2"/>
  <c r="BM22" i="2"/>
  <c r="AD22" i="2"/>
  <c r="BU22" i="2"/>
  <c r="Y22" i="2"/>
  <c r="AE22" i="2" s="1"/>
  <c r="AM22" i="2" s="1"/>
  <c r="D22" i="2"/>
  <c r="E16" i="8"/>
  <c r="B17" i="8"/>
  <c r="J17" i="8" s="1"/>
  <c r="D25" i="7"/>
  <c r="A26" i="7"/>
  <c r="R26" i="7" s="1"/>
  <c r="AH24" i="2" s="1"/>
  <c r="AE24" i="6"/>
  <c r="AL22" i="2" l="1"/>
  <c r="AN22" i="2" s="1"/>
  <c r="Q26" i="7"/>
  <c r="BJ22" i="2"/>
  <c r="E20" i="14"/>
  <c r="F20" i="14" s="1"/>
  <c r="S26" i="11"/>
  <c r="BL23" i="2"/>
  <c r="B24" i="2"/>
  <c r="B22" i="14"/>
  <c r="D21" i="14"/>
  <c r="U25" i="7"/>
  <c r="AT22" i="2"/>
  <c r="AU22" i="2" s="1"/>
  <c r="AW22" i="2" s="1"/>
  <c r="AQ22" i="2" s="1"/>
  <c r="AB23" i="2"/>
  <c r="T17" i="8"/>
  <c r="E27" i="11"/>
  <c r="D28" i="11" s="1"/>
  <c r="C22" i="8"/>
  <c r="O21" i="8" s="1"/>
  <c r="J25" i="7"/>
  <c r="BS23" i="2" s="1"/>
  <c r="O26" i="7"/>
  <c r="H26" i="7"/>
  <c r="G26" i="7"/>
  <c r="AB26" i="7"/>
  <c r="Z26" i="7"/>
  <c r="AD26" i="7"/>
  <c r="I26" i="7"/>
  <c r="AF26" i="7"/>
  <c r="X26" i="7"/>
  <c r="L26" i="7"/>
  <c r="F26" i="7"/>
  <c r="M26" i="7"/>
  <c r="DC20" i="2"/>
  <c r="DC21" i="2"/>
  <c r="V17" i="8"/>
  <c r="CK23" i="2"/>
  <c r="V22" i="2"/>
  <c r="BU23" i="2"/>
  <c r="AV23" i="2"/>
  <c r="AD23" i="2"/>
  <c r="CM22" i="2"/>
  <c r="Y23" i="2"/>
  <c r="AE23" i="2" s="1"/>
  <c r="AM23" i="2" s="1"/>
  <c r="BM23" i="2"/>
  <c r="D23" i="2"/>
  <c r="E17" i="8"/>
  <c r="B18" i="8"/>
  <c r="J18" i="8" s="1"/>
  <c r="D26" i="7"/>
  <c r="A27" i="7"/>
  <c r="R27" i="7" s="1"/>
  <c r="AH25" i="2" s="1"/>
  <c r="AE25" i="6"/>
  <c r="AL23" i="2" l="1"/>
  <c r="AN23" i="2" s="1"/>
  <c r="Q27" i="7"/>
  <c r="BJ23" i="2"/>
  <c r="E21" i="14"/>
  <c r="F21" i="14" s="1"/>
  <c r="S27" i="11"/>
  <c r="BL24" i="2"/>
  <c r="D22" i="14"/>
  <c r="U26" i="7"/>
  <c r="B25" i="2"/>
  <c r="B23" i="14"/>
  <c r="AT23" i="2"/>
  <c r="AU23" i="2" s="1"/>
  <c r="AW23" i="2" s="1"/>
  <c r="AQ23" i="2" s="1"/>
  <c r="AB24" i="2"/>
  <c r="T18" i="8"/>
  <c r="E28" i="11"/>
  <c r="D29" i="11" s="1"/>
  <c r="Q21" i="8"/>
  <c r="J26" i="7"/>
  <c r="BS24" i="2" s="1"/>
  <c r="C23" i="8"/>
  <c r="O22" i="8" s="1"/>
  <c r="Q22" i="8" s="1"/>
  <c r="AB27" i="7"/>
  <c r="O27" i="7"/>
  <c r="H27" i="7"/>
  <c r="Z27" i="7"/>
  <c r="AD27" i="7"/>
  <c r="I27" i="7"/>
  <c r="M27" i="7"/>
  <c r="G27" i="7"/>
  <c r="AF27" i="7"/>
  <c r="X27" i="7"/>
  <c r="L27" i="7"/>
  <c r="F27" i="7"/>
  <c r="DC22" i="2"/>
  <c r="V18" i="8"/>
  <c r="V23" i="2"/>
  <c r="BM24" i="2"/>
  <c r="CK24" i="2"/>
  <c r="BU24" i="2"/>
  <c r="AV24" i="2"/>
  <c r="CM23" i="2"/>
  <c r="AD24" i="2"/>
  <c r="D24" i="2"/>
  <c r="E18" i="8"/>
  <c r="B19" i="8"/>
  <c r="J19" i="8" s="1"/>
  <c r="D27" i="7"/>
  <c r="A28" i="7"/>
  <c r="R28" i="7" s="1"/>
  <c r="AH26" i="2" s="1"/>
  <c r="AE26" i="6"/>
  <c r="AL24" i="2" l="1"/>
  <c r="Q28" i="7"/>
  <c r="BJ24" i="2"/>
  <c r="E22" i="14"/>
  <c r="F22" i="14" s="1"/>
  <c r="S28" i="11"/>
  <c r="BL25" i="2"/>
  <c r="U27" i="7"/>
  <c r="B26" i="2"/>
  <c r="B24" i="14"/>
  <c r="D23" i="14"/>
  <c r="AT24" i="2"/>
  <c r="AU24" i="2" s="1"/>
  <c r="AW24" i="2" s="1"/>
  <c r="AQ24" i="2" s="1"/>
  <c r="AB25" i="2"/>
  <c r="T19" i="8"/>
  <c r="E29" i="11"/>
  <c r="D30" i="11" s="1"/>
  <c r="C24" i="8"/>
  <c r="C25" i="8" s="1"/>
  <c r="J27" i="7"/>
  <c r="BS25" i="2" s="1"/>
  <c r="AB28" i="7"/>
  <c r="O28" i="7"/>
  <c r="H28" i="7"/>
  <c r="X28" i="7"/>
  <c r="Z28" i="7"/>
  <c r="M28" i="7"/>
  <c r="AF28" i="7"/>
  <c r="L28" i="7"/>
  <c r="AD28" i="7"/>
  <c r="I28" i="7"/>
  <c r="F28" i="7"/>
  <c r="G28" i="7"/>
  <c r="DC23" i="2"/>
  <c r="V19" i="8"/>
  <c r="V24" i="2"/>
  <c r="CM24" i="2"/>
  <c r="BU25" i="2"/>
  <c r="AV25" i="2"/>
  <c r="Y24" i="2"/>
  <c r="AE24" i="2" s="1"/>
  <c r="AM24" i="2" s="1"/>
  <c r="BM25" i="2"/>
  <c r="CK25" i="2"/>
  <c r="AD25" i="2"/>
  <c r="D25" i="2"/>
  <c r="E19" i="8"/>
  <c r="B20" i="8"/>
  <c r="J20" i="8" s="1"/>
  <c r="D28" i="7"/>
  <c r="A29" i="7"/>
  <c r="R29" i="7" s="1"/>
  <c r="AH27" i="2" s="1"/>
  <c r="AE27" i="6"/>
  <c r="AL25" i="2" l="1"/>
  <c r="AN24" i="2"/>
  <c r="Q29" i="7"/>
  <c r="BJ25" i="2"/>
  <c r="E23" i="14"/>
  <c r="F23" i="14" s="1"/>
  <c r="S29" i="11"/>
  <c r="BL26" i="2"/>
  <c r="D24" i="14"/>
  <c r="U28" i="7"/>
  <c r="B27" i="2"/>
  <c r="B25" i="14"/>
  <c r="AT25" i="2"/>
  <c r="AU25" i="2" s="1"/>
  <c r="AW25" i="2" s="1"/>
  <c r="AQ25" i="2" s="1"/>
  <c r="AB26" i="2"/>
  <c r="O23" i="8"/>
  <c r="Q23" i="8" s="1"/>
  <c r="C26" i="8"/>
  <c r="O25" i="8" s="1"/>
  <c r="Q25" i="8" s="1"/>
  <c r="T20" i="8"/>
  <c r="E30" i="11"/>
  <c r="D31" i="11" s="1"/>
  <c r="O24" i="8"/>
  <c r="Q24" i="8" s="1"/>
  <c r="J28" i="7"/>
  <c r="BS26" i="2" s="1"/>
  <c r="I29" i="7"/>
  <c r="F29" i="7"/>
  <c r="AD29" i="7"/>
  <c r="AB29" i="7"/>
  <c r="O29" i="7"/>
  <c r="AF29" i="7"/>
  <c r="X29" i="7"/>
  <c r="L29" i="7"/>
  <c r="Z29" i="7"/>
  <c r="M29" i="7"/>
  <c r="G29" i="7"/>
  <c r="H29" i="7"/>
  <c r="CM25" i="2"/>
  <c r="V25" i="2"/>
  <c r="BU26" i="2"/>
  <c r="V20" i="8"/>
  <c r="CK26" i="2"/>
  <c r="Y25" i="2"/>
  <c r="AE25" i="2" s="1"/>
  <c r="AM25" i="2" s="1"/>
  <c r="AV26" i="2"/>
  <c r="BM26" i="2"/>
  <c r="Y26" i="2"/>
  <c r="AE26" i="2" s="1"/>
  <c r="AM26" i="2" s="1"/>
  <c r="AD26" i="2"/>
  <c r="D26" i="2"/>
  <c r="E20" i="8"/>
  <c r="B21" i="8"/>
  <c r="J21" i="8" s="1"/>
  <c r="D29" i="7"/>
  <c r="A30" i="7"/>
  <c r="R30" i="7" s="1"/>
  <c r="AH28" i="2" s="1"/>
  <c r="AE28" i="6"/>
  <c r="AL26" i="2" l="1"/>
  <c r="AN26" i="2" s="1"/>
  <c r="AN25" i="2"/>
  <c r="Q30" i="7"/>
  <c r="BJ26" i="2"/>
  <c r="E24" i="14"/>
  <c r="F24" i="14" s="1"/>
  <c r="S30" i="11"/>
  <c r="BL27" i="2"/>
  <c r="U29" i="7"/>
  <c r="D25" i="14"/>
  <c r="B28" i="2"/>
  <c r="B26" i="14"/>
  <c r="AT26" i="2"/>
  <c r="AU26" i="2" s="1"/>
  <c r="AW26" i="2" s="1"/>
  <c r="AQ26" i="2" s="1"/>
  <c r="AB27" i="2"/>
  <c r="T21" i="8"/>
  <c r="E31" i="11"/>
  <c r="D32" i="11" s="1"/>
  <c r="J29" i="7"/>
  <c r="BS27" i="2" s="1"/>
  <c r="C27" i="8"/>
  <c r="AD30" i="7"/>
  <c r="I30" i="7"/>
  <c r="F30" i="7"/>
  <c r="AF30" i="7"/>
  <c r="X30" i="7"/>
  <c r="L30" i="7"/>
  <c r="H30" i="7"/>
  <c r="AB30" i="7"/>
  <c r="Z30" i="7"/>
  <c r="M30" i="7"/>
  <c r="G30" i="7"/>
  <c r="O30" i="7"/>
  <c r="DC24" i="2"/>
  <c r="V21" i="8"/>
  <c r="V26" i="2"/>
  <c r="CM26" i="2"/>
  <c r="AD27" i="2"/>
  <c r="Y27" i="2"/>
  <c r="AE27" i="2" s="1"/>
  <c r="AM27" i="2" s="1"/>
  <c r="AV27" i="2"/>
  <c r="BM27" i="2"/>
  <c r="BU27" i="2"/>
  <c r="CK27" i="2"/>
  <c r="D27" i="2"/>
  <c r="E21" i="8"/>
  <c r="B22" i="8"/>
  <c r="J22" i="8" s="1"/>
  <c r="D30" i="7"/>
  <c r="A31" i="7"/>
  <c r="R31" i="7" s="1"/>
  <c r="AH29" i="2" s="1"/>
  <c r="AE29" i="6"/>
  <c r="AL27" i="2" l="1"/>
  <c r="AN27" i="2" s="1"/>
  <c r="Q31" i="7"/>
  <c r="BJ27" i="2"/>
  <c r="E25" i="14"/>
  <c r="F25" i="14" s="1"/>
  <c r="S31" i="11"/>
  <c r="U30" i="7"/>
  <c r="BL28" i="2"/>
  <c r="D26" i="14"/>
  <c r="B29" i="2"/>
  <c r="B27" i="14"/>
  <c r="AT27" i="2"/>
  <c r="AU27" i="2" s="1"/>
  <c r="AW27" i="2" s="1"/>
  <c r="AQ27" i="2" s="1"/>
  <c r="AB28" i="2"/>
  <c r="Q26" i="8"/>
  <c r="Q29" i="8" s="1"/>
  <c r="T22" i="8"/>
  <c r="J30" i="7"/>
  <c r="BS28" i="2" s="1"/>
  <c r="E32" i="11"/>
  <c r="D33" i="11" s="1"/>
  <c r="O29" i="8"/>
  <c r="AD31" i="7"/>
  <c r="I31" i="7"/>
  <c r="M31" i="7"/>
  <c r="H31" i="7"/>
  <c r="G31" i="7"/>
  <c r="AF31" i="7"/>
  <c r="X31" i="7"/>
  <c r="L31" i="7"/>
  <c r="F31" i="7"/>
  <c r="Z31" i="7"/>
  <c r="AB31" i="7"/>
  <c r="O31" i="7"/>
  <c r="DC26" i="2"/>
  <c r="DC25" i="2"/>
  <c r="V22" i="8"/>
  <c r="BM28" i="2"/>
  <c r="V28" i="2"/>
  <c r="AD28" i="2"/>
  <c r="CK28" i="2"/>
  <c r="V27" i="2"/>
  <c r="CM27" i="2"/>
  <c r="AV28" i="2"/>
  <c r="BU28" i="2"/>
  <c r="D28" i="2"/>
  <c r="E22" i="8"/>
  <c r="B23" i="8"/>
  <c r="J23" i="8" s="1"/>
  <c r="D31" i="7"/>
  <c r="A32" i="7"/>
  <c r="R32" i="7" s="1"/>
  <c r="AH30" i="2" s="1"/>
  <c r="AE30" i="6"/>
  <c r="AL28" i="2" l="1"/>
  <c r="Q32" i="7"/>
  <c r="BJ28" i="2"/>
  <c r="E26" i="14"/>
  <c r="F26" i="14" s="1"/>
  <c r="S32" i="11"/>
  <c r="BL29" i="2"/>
  <c r="B30" i="2"/>
  <c r="B28" i="14"/>
  <c r="D27" i="14"/>
  <c r="U31" i="7"/>
  <c r="AT28" i="2"/>
  <c r="AU28" i="2" s="1"/>
  <c r="AW28" i="2" s="1"/>
  <c r="AQ28" i="2" s="1"/>
  <c r="AB29" i="2"/>
  <c r="T23" i="8"/>
  <c r="E33" i="11"/>
  <c r="D34" i="11" s="1"/>
  <c r="J31" i="7"/>
  <c r="BS29" i="2" s="1"/>
  <c r="X32" i="7"/>
  <c r="F32" i="7"/>
  <c r="I32" i="7"/>
  <c r="AF32" i="7"/>
  <c r="L32" i="7"/>
  <c r="G32" i="7"/>
  <c r="Z32" i="7"/>
  <c r="M32" i="7"/>
  <c r="AD32" i="7"/>
  <c r="AB32" i="7"/>
  <c r="O32" i="7"/>
  <c r="H32" i="7"/>
  <c r="DC27" i="2"/>
  <c r="CM28" i="2"/>
  <c r="V23" i="8"/>
  <c r="Y28" i="2"/>
  <c r="AE28" i="2" s="1"/>
  <c r="AM28" i="2" s="1"/>
  <c r="BM29" i="2"/>
  <c r="AV29" i="2"/>
  <c r="AD29" i="2"/>
  <c r="Y29" i="2"/>
  <c r="AE29" i="2" s="1"/>
  <c r="AM29" i="2" s="1"/>
  <c r="BU29" i="2"/>
  <c r="CK29" i="2"/>
  <c r="D29" i="2"/>
  <c r="E23" i="8"/>
  <c r="B24" i="8"/>
  <c r="J24" i="8" s="1"/>
  <c r="D32" i="7"/>
  <c r="A33" i="7"/>
  <c r="R33" i="7" s="1"/>
  <c r="AH31" i="2" s="1"/>
  <c r="AE31" i="6"/>
  <c r="AN28" i="2" l="1"/>
  <c r="AL29" i="2"/>
  <c r="AN29" i="2" s="1"/>
  <c r="Q33" i="7"/>
  <c r="BJ29" i="2"/>
  <c r="B29" i="14"/>
  <c r="D29" i="14" s="1"/>
  <c r="E27" i="14"/>
  <c r="F27" i="14" s="1"/>
  <c r="S33" i="11"/>
  <c r="BL30" i="2"/>
  <c r="D30" i="2"/>
  <c r="CK30" i="2"/>
  <c r="D28" i="14"/>
  <c r="BU30" i="2"/>
  <c r="U32" i="7"/>
  <c r="AV30" i="2"/>
  <c r="AD30" i="2"/>
  <c r="BM30" i="2"/>
  <c r="AT29" i="2"/>
  <c r="AU29" i="2" s="1"/>
  <c r="AW29" i="2" s="1"/>
  <c r="AQ29" i="2" s="1"/>
  <c r="AB30" i="2"/>
  <c r="B31" i="2"/>
  <c r="B25" i="8"/>
  <c r="J25" i="8" s="1"/>
  <c r="T24" i="8"/>
  <c r="E34" i="11"/>
  <c r="D35" i="11" s="1"/>
  <c r="Y30" i="2"/>
  <c r="CM30" i="2"/>
  <c r="V30" i="2"/>
  <c r="AD33" i="7"/>
  <c r="AF33" i="7"/>
  <c r="X33" i="7"/>
  <c r="L33" i="7"/>
  <c r="F33" i="7"/>
  <c r="Z33" i="7"/>
  <c r="M33" i="7"/>
  <c r="G33" i="7"/>
  <c r="AB33" i="7"/>
  <c r="O33" i="7"/>
  <c r="H33" i="7"/>
  <c r="I33" i="7"/>
  <c r="J32" i="7"/>
  <c r="BS30" i="2" s="1"/>
  <c r="V29" i="2"/>
  <c r="V24" i="8"/>
  <c r="CM29" i="2"/>
  <c r="E24" i="8"/>
  <c r="D33" i="7"/>
  <c r="A34" i="7"/>
  <c r="R34" i="7" s="1"/>
  <c r="AH32" i="2" s="1"/>
  <c r="AE32" i="6"/>
  <c r="AL30" i="2" l="1"/>
  <c r="Q34" i="7"/>
  <c r="BJ30" i="2"/>
  <c r="DC30" i="2" s="1"/>
  <c r="E29" i="14"/>
  <c r="S35" i="11"/>
  <c r="E28" i="14"/>
  <c r="F28" i="14" s="1"/>
  <c r="S34" i="11"/>
  <c r="AB31" i="2"/>
  <c r="BU31" i="2"/>
  <c r="AV31" i="2"/>
  <c r="B26" i="8"/>
  <c r="J26" i="8" s="1"/>
  <c r="B30" i="14"/>
  <c r="BM31" i="2"/>
  <c r="U33" i="7"/>
  <c r="AD31" i="2"/>
  <c r="CK31" i="2"/>
  <c r="AT30" i="2"/>
  <c r="AU30" i="2" s="1"/>
  <c r="AW30" i="2" s="1"/>
  <c r="AQ30" i="2" s="1"/>
  <c r="BL31" i="2"/>
  <c r="T25" i="8"/>
  <c r="D31" i="2"/>
  <c r="E25" i="8"/>
  <c r="V25" i="8"/>
  <c r="E35" i="11"/>
  <c r="D36" i="11" s="1"/>
  <c r="V31" i="2"/>
  <c r="J33" i="7"/>
  <c r="BS31" i="2" s="1"/>
  <c r="Y31" i="2"/>
  <c r="CM31" i="2"/>
  <c r="A35" i="7"/>
  <c r="R35" i="7" s="1"/>
  <c r="B32" i="2"/>
  <c r="AE30" i="2"/>
  <c r="AI30" i="2"/>
  <c r="AJ30" i="2" s="1"/>
  <c r="CZ30" i="2" s="1"/>
  <c r="AF34" i="7"/>
  <c r="X34" i="7"/>
  <c r="L34" i="7"/>
  <c r="F34" i="7"/>
  <c r="Z34" i="7"/>
  <c r="M34" i="7"/>
  <c r="G34" i="7"/>
  <c r="O34" i="7"/>
  <c r="H34" i="7"/>
  <c r="AB34" i="7"/>
  <c r="I34" i="7"/>
  <c r="AD34" i="7"/>
  <c r="DC28" i="2"/>
  <c r="DC29" i="2"/>
  <c r="D34" i="7"/>
  <c r="AE33" i="6"/>
  <c r="AL31" i="2" l="1"/>
  <c r="AF30" i="2"/>
  <c r="CS30" i="2" s="1"/>
  <c r="AM30" i="2"/>
  <c r="AN30" i="2" s="1"/>
  <c r="Q35" i="7"/>
  <c r="BJ31" i="2"/>
  <c r="F29" i="14"/>
  <c r="BM32" i="2"/>
  <c r="CK32" i="2"/>
  <c r="U34" i="7"/>
  <c r="AV32" i="2"/>
  <c r="D30" i="14"/>
  <c r="AD32" i="2"/>
  <c r="AL32" i="2" s="1"/>
  <c r="BU32" i="2"/>
  <c r="AT31" i="2"/>
  <c r="AU31" i="2" s="1"/>
  <c r="AW31" i="2" s="1"/>
  <c r="AQ31" i="2" s="1"/>
  <c r="BL32" i="2"/>
  <c r="AB32" i="2"/>
  <c r="V26" i="8"/>
  <c r="V29" i="8" s="1"/>
  <c r="D32" i="2"/>
  <c r="E26" i="8"/>
  <c r="AF35" i="7"/>
  <c r="M35" i="7"/>
  <c r="O35" i="7"/>
  <c r="L35" i="7"/>
  <c r="X35" i="7"/>
  <c r="Z35" i="7"/>
  <c r="G35" i="7"/>
  <c r="H35" i="7"/>
  <c r="D35" i="7"/>
  <c r="AD35" i="7"/>
  <c r="F35" i="7"/>
  <c r="AB35" i="7"/>
  <c r="I35" i="7"/>
  <c r="Y32" i="2"/>
  <c r="CM32" i="2"/>
  <c r="V32" i="2"/>
  <c r="AE31" i="2"/>
  <c r="AI31" i="2"/>
  <c r="AJ31" i="2" s="1"/>
  <c r="CZ31" i="2" s="1"/>
  <c r="J34" i="7"/>
  <c r="BS32" i="2" s="1"/>
  <c r="T29" i="8"/>
  <c r="AE34" i="6"/>
  <c r="BR30" i="2" l="1"/>
  <c r="BT30" i="2" s="1"/>
  <c r="BV30" i="2" s="1"/>
  <c r="AF31" i="2"/>
  <c r="BR31" i="2" s="1"/>
  <c r="BT31" i="2" s="1"/>
  <c r="BV31" i="2" s="1"/>
  <c r="DF31" i="2" s="1"/>
  <c r="AM31" i="2"/>
  <c r="AN31" i="2" s="1"/>
  <c r="BJ32" i="2"/>
  <c r="E30" i="14"/>
  <c r="F30" i="14" s="1"/>
  <c r="N3" i="11" s="1"/>
  <c r="S36" i="11"/>
  <c r="DC31" i="2"/>
  <c r="U35" i="7"/>
  <c r="AT32" i="2"/>
  <c r="AE32" i="2"/>
  <c r="AI32" i="2"/>
  <c r="AJ32" i="2" s="1"/>
  <c r="CZ32" i="2" s="1"/>
  <c r="J35" i="7"/>
  <c r="AE35" i="6"/>
  <c r="CS31" i="2" l="1"/>
  <c r="DF30" i="2"/>
  <c r="AF32" i="2"/>
  <c r="BR32" i="2" s="1"/>
  <c r="BT32" i="2" s="1"/>
  <c r="BV32" i="2" s="1"/>
  <c r="DF32" i="2" s="1"/>
  <c r="AM32" i="2"/>
  <c r="AN32" i="2" s="1"/>
  <c r="DC32" i="2"/>
  <c r="AU32" i="2"/>
  <c r="AW32" i="2" s="1"/>
  <c r="AQ32" i="2" s="1"/>
  <c r="AV35" i="2"/>
  <c r="AE36" i="6"/>
  <c r="CS32" i="2" l="1"/>
  <c r="CC12" i="2"/>
  <c r="DL12" i="2" s="1"/>
  <c r="AZ13" i="2"/>
  <c r="AZ14" i="2"/>
  <c r="AZ15" i="2"/>
  <c r="AZ16" i="2"/>
  <c r="AZ17" i="2"/>
  <c r="AZ18" i="2"/>
  <c r="AZ19" i="2"/>
  <c r="AZ20" i="2"/>
  <c r="AZ21" i="2"/>
  <c r="AZ22" i="2"/>
  <c r="AZ23" i="2"/>
  <c r="AZ24" i="2"/>
  <c r="AZ25" i="2"/>
  <c r="AZ26" i="2"/>
  <c r="AZ27" i="2"/>
  <c r="AZ28" i="2"/>
  <c r="AZ29" i="2"/>
  <c r="U14" i="2" l="1"/>
  <c r="U15" i="2" s="1"/>
  <c r="CC15" i="2" s="1"/>
  <c r="DL15" i="2" s="1"/>
  <c r="CC13" i="2" l="1"/>
  <c r="DL13" i="2" s="1"/>
  <c r="CC14" i="2"/>
  <c r="DL14" i="2" s="1"/>
  <c r="R36" i="4"/>
  <c r="S176" i="4"/>
  <c r="V32" i="4" l="1"/>
  <c r="N25" i="8"/>
  <c r="R25" i="8" s="1"/>
  <c r="N26" i="8"/>
  <c r="R26" i="8" s="1"/>
  <c r="N6" i="8"/>
  <c r="N7" i="8"/>
  <c r="N8" i="8"/>
  <c r="N9" i="8"/>
  <c r="N10" i="8"/>
  <c r="N11" i="8"/>
  <c r="N12" i="8"/>
  <c r="N13" i="8"/>
  <c r="N14" i="8"/>
  <c r="N15" i="8"/>
  <c r="N16" i="8"/>
  <c r="N17" i="8"/>
  <c r="N18" i="8"/>
  <c r="N19" i="8"/>
  <c r="N20" i="8"/>
  <c r="N21" i="8"/>
  <c r="N22" i="8"/>
  <c r="R22" i="8" s="1"/>
  <c r="N23" i="8"/>
  <c r="R23" i="8" s="1"/>
  <c r="N24" i="8"/>
  <c r="R24" i="8" s="1"/>
  <c r="BB32" i="2"/>
  <c r="BB31" i="2"/>
  <c r="BB30" i="2"/>
  <c r="BB12" i="2"/>
  <c r="BB27" i="2"/>
  <c r="BB15" i="2"/>
  <c r="BB26" i="2"/>
  <c r="BB14" i="2"/>
  <c r="BB25" i="2"/>
  <c r="BB13" i="2"/>
  <c r="BB24" i="2"/>
  <c r="BB23" i="2"/>
  <c r="BB22" i="2"/>
  <c r="BB21" i="2"/>
  <c r="BB20" i="2"/>
  <c r="BB19" i="2"/>
  <c r="BB18" i="2"/>
  <c r="BB29" i="2"/>
  <c r="BB17" i="2"/>
  <c r="BB28" i="2"/>
  <c r="BB16" i="2"/>
  <c r="S178" i="4"/>
  <c r="V36" i="4"/>
  <c r="R38" i="4"/>
  <c r="AD92" i="4"/>
  <c r="R40" i="4" l="1"/>
  <c r="P22" i="8"/>
  <c r="P23" i="8"/>
  <c r="P25" i="8"/>
  <c r="P24" i="8"/>
  <c r="P26" i="8"/>
  <c r="R16" i="8"/>
  <c r="P16" i="8"/>
  <c r="R14" i="8"/>
  <c r="P14" i="8"/>
  <c r="P13" i="8"/>
  <c r="R13" i="8"/>
  <c r="R10" i="8"/>
  <c r="P10" i="8"/>
  <c r="R21" i="8"/>
  <c r="P21" i="8"/>
  <c r="R9" i="8"/>
  <c r="P9" i="8"/>
  <c r="R17" i="8"/>
  <c r="P17" i="8"/>
  <c r="R8" i="8"/>
  <c r="P8" i="8"/>
  <c r="R15" i="8"/>
  <c r="P15" i="8"/>
  <c r="R12" i="8"/>
  <c r="P12" i="8"/>
  <c r="R11" i="8"/>
  <c r="P11" i="8"/>
  <c r="R20" i="8"/>
  <c r="P20" i="8"/>
  <c r="R19" i="8"/>
  <c r="P19" i="8"/>
  <c r="R7" i="8"/>
  <c r="P7" i="8"/>
  <c r="R18" i="8"/>
  <c r="P18" i="8"/>
  <c r="R6" i="8"/>
  <c r="P6" i="8"/>
  <c r="N29" i="8"/>
  <c r="BA31" i="2"/>
  <c r="BA32" i="2"/>
  <c r="BA30" i="2"/>
  <c r="AP30" i="2"/>
  <c r="AR30" i="2" s="1"/>
  <c r="AY30" i="2" s="1"/>
  <c r="AP32" i="2"/>
  <c r="AR32" i="2" s="1"/>
  <c r="AY32" i="2" s="1"/>
  <c r="AP31" i="2"/>
  <c r="AR31" i="2" s="1"/>
  <c r="AJ86" i="4" s="1"/>
  <c r="AP12" i="2"/>
  <c r="BA24" i="2"/>
  <c r="BA23" i="2"/>
  <c r="BA22" i="2"/>
  <c r="BA21" i="2"/>
  <c r="BA20" i="2"/>
  <c r="BA19" i="2"/>
  <c r="BA18" i="2"/>
  <c r="BA29" i="2"/>
  <c r="BA17" i="2"/>
  <c r="BA28" i="2"/>
  <c r="BA16" i="2"/>
  <c r="BA27" i="2"/>
  <c r="BA15" i="2"/>
  <c r="BA26" i="2"/>
  <c r="BA14" i="2"/>
  <c r="BA25" i="2"/>
  <c r="BA13" i="2"/>
  <c r="BA12" i="2"/>
  <c r="AY31" i="2" l="1"/>
  <c r="CY31" i="2" s="1"/>
  <c r="DA31" i="2" s="1"/>
  <c r="CY32" i="2"/>
  <c r="DA32" i="2" s="1"/>
  <c r="BD32" i="2"/>
  <c r="CY30" i="2"/>
  <c r="DA30" i="2" s="1"/>
  <c r="BD30" i="2"/>
  <c r="P29" i="8"/>
  <c r="R29" i="8"/>
  <c r="BD31" i="2" l="1"/>
  <c r="AI12" i="2"/>
  <c r="AE12" i="2"/>
  <c r="AM12" i="2" s="1"/>
  <c r="AN12" i="2" s="1"/>
  <c r="AJ12" i="2" l="1"/>
  <c r="CZ12" i="2" s="1"/>
  <c r="U16" i="2"/>
  <c r="AD86" i="4"/>
  <c r="AD38" i="4"/>
  <c r="CC16" i="2" l="1"/>
  <c r="DL16" i="2" s="1"/>
  <c r="D5" i="11"/>
  <c r="N5" i="11" s="1"/>
  <c r="N7" i="11" s="1"/>
  <c r="N9" i="11" s="1"/>
  <c r="AD88" i="4"/>
  <c r="AD94" i="4" s="1"/>
  <c r="R62" i="4" l="1"/>
  <c r="M35" i="11"/>
  <c r="M23" i="11"/>
  <c r="M31" i="11"/>
  <c r="M24" i="11"/>
  <c r="M34" i="11"/>
  <c r="M22" i="11"/>
  <c r="M21" i="11"/>
  <c r="M30" i="11"/>
  <c r="M25" i="11"/>
  <c r="M33" i="11"/>
  <c r="M32" i="11"/>
  <c r="M20" i="11"/>
  <c r="M19" i="11"/>
  <c r="M16" i="11"/>
  <c r="M29" i="11"/>
  <c r="M28" i="11"/>
  <c r="M27" i="11"/>
  <c r="M26" i="11"/>
  <c r="M17" i="11"/>
  <c r="M18" i="11"/>
  <c r="K12" i="2"/>
  <c r="C12" i="2" s="1"/>
  <c r="I30" i="2"/>
  <c r="I32" i="2"/>
  <c r="I31" i="2"/>
  <c r="L30" i="2"/>
  <c r="L32" i="2"/>
  <c r="L31" i="2"/>
  <c r="L12" i="2"/>
  <c r="I21" i="2"/>
  <c r="I29" i="2"/>
  <c r="I27" i="2"/>
  <c r="I14" i="2"/>
  <c r="I24" i="2"/>
  <c r="I20" i="2"/>
  <c r="I19" i="2"/>
  <c r="I18" i="2"/>
  <c r="I17" i="2"/>
  <c r="I16" i="2"/>
  <c r="I26" i="2"/>
  <c r="I13" i="2"/>
  <c r="I23" i="2"/>
  <c r="I28" i="2"/>
  <c r="I15" i="2"/>
  <c r="I25" i="2"/>
  <c r="I12" i="2"/>
  <c r="I22" i="2"/>
  <c r="L21" i="2"/>
  <c r="L16" i="2"/>
  <c r="L26" i="2"/>
  <c r="L25" i="2"/>
  <c r="L18" i="2"/>
  <c r="L22" i="2"/>
  <c r="L19" i="2"/>
  <c r="L17" i="2"/>
  <c r="L27" i="2"/>
  <c r="L13" i="2"/>
  <c r="L29" i="2"/>
  <c r="L20" i="2"/>
  <c r="L14" i="2"/>
  <c r="L15" i="2"/>
  <c r="L28" i="2"/>
  <c r="L24" i="2"/>
  <c r="L23" i="2"/>
  <c r="K13" i="2" l="1"/>
  <c r="K14" i="2" s="1"/>
  <c r="K15" i="2" s="1"/>
  <c r="K16" i="2" s="1"/>
  <c r="K17" i="2" s="1"/>
  <c r="K18" i="2" s="1"/>
  <c r="K19" i="2" s="1"/>
  <c r="K20" i="2" s="1"/>
  <c r="K21" i="2" s="1"/>
  <c r="K22" i="2" s="1"/>
  <c r="K23" i="2" s="1"/>
  <c r="K24" i="2" s="1"/>
  <c r="K25" i="2" s="1"/>
  <c r="K26" i="2" s="1"/>
  <c r="K27" i="2" s="1"/>
  <c r="K28" i="2" s="1"/>
  <c r="K29" i="2" s="1"/>
  <c r="K30" i="2" s="1"/>
  <c r="K31" i="2" s="1"/>
  <c r="K32" i="2" s="1"/>
  <c r="Z12" i="2" l="1"/>
  <c r="AA12" i="2" s="1"/>
  <c r="X12" i="2" l="1"/>
  <c r="AP21" i="2" l="1"/>
  <c r="AP22" i="2"/>
  <c r="AP13" i="2"/>
  <c r="AP26" i="2"/>
  <c r="AP28" i="2"/>
  <c r="AP23" i="2"/>
  <c r="AP25" i="2"/>
  <c r="AP14" i="2"/>
  <c r="AP15" i="2"/>
  <c r="AP27" i="2"/>
  <c r="AP17" i="2"/>
  <c r="AP29" i="2"/>
  <c r="AP18" i="2"/>
  <c r="AP19" i="2"/>
  <c r="AP20" i="2"/>
  <c r="AP24" i="2"/>
  <c r="AP16" i="2"/>
  <c r="U17" i="2" l="1"/>
  <c r="CC17" i="2" s="1"/>
  <c r="DL17" i="2" s="1"/>
  <c r="U18" i="2" l="1"/>
  <c r="AI13" i="2"/>
  <c r="AJ13" i="2" s="1"/>
  <c r="CZ13" i="2" s="1"/>
  <c r="X13" i="2"/>
  <c r="CC18" i="2" l="1"/>
  <c r="DL18" i="2" s="1"/>
  <c r="U19" i="2"/>
  <c r="X14" i="2"/>
  <c r="AI14" i="2"/>
  <c r="AJ14" i="2" s="1"/>
  <c r="CZ14" i="2" s="1"/>
  <c r="Z13" i="2"/>
  <c r="AA13" i="2" s="1"/>
  <c r="CC19" i="2" l="1"/>
  <c r="DL19" i="2" s="1"/>
  <c r="U20" i="2"/>
  <c r="X15" i="2"/>
  <c r="AI15" i="2"/>
  <c r="AJ15" i="2" s="1"/>
  <c r="CZ15" i="2" s="1"/>
  <c r="AR29" i="2"/>
  <c r="AY29" i="2" s="1"/>
  <c r="AR24" i="2"/>
  <c r="AY24" i="2" s="1"/>
  <c r="Z14" i="2"/>
  <c r="AA14" i="2" s="1"/>
  <c r="BD29" i="2" l="1"/>
  <c r="CY29" i="2"/>
  <c r="BD24" i="2"/>
  <c r="CY24" i="2"/>
  <c r="CC20" i="2"/>
  <c r="DL20" i="2" s="1"/>
  <c r="U21" i="2"/>
  <c r="X16" i="2"/>
  <c r="AI16" i="2"/>
  <c r="AJ16" i="2" s="1"/>
  <c r="CZ16" i="2" s="1"/>
  <c r="Z15" i="2"/>
  <c r="AA15" i="2" s="1"/>
  <c r="AR20" i="2"/>
  <c r="AY20" i="2" s="1"/>
  <c r="AR19" i="2"/>
  <c r="AY19" i="2" s="1"/>
  <c r="AR15" i="2"/>
  <c r="AY15" i="2" s="1"/>
  <c r="AR21" i="2"/>
  <c r="AY21" i="2" s="1"/>
  <c r="AR17" i="2"/>
  <c r="AY17" i="2" s="1"/>
  <c r="AR28" i="2"/>
  <c r="AY28" i="2" s="1"/>
  <c r="AR16" i="2"/>
  <c r="AY16" i="2" s="1"/>
  <c r="AR26" i="2"/>
  <c r="AY26" i="2" s="1"/>
  <c r="AR25" i="2"/>
  <c r="AY25" i="2" s="1"/>
  <c r="AR23" i="2"/>
  <c r="AY23" i="2" s="1"/>
  <c r="AR27" i="2"/>
  <c r="AY27" i="2" s="1"/>
  <c r="AR18" i="2"/>
  <c r="AY18" i="2" s="1"/>
  <c r="AR22" i="2"/>
  <c r="AY22" i="2" s="1"/>
  <c r="AR13" i="2"/>
  <c r="AY13" i="2" s="1"/>
  <c r="AR14" i="2"/>
  <c r="AY14" i="2" s="1"/>
  <c r="AR12" i="2"/>
  <c r="AY12" i="2" s="1"/>
  <c r="BD28" i="2" l="1"/>
  <c r="CY28" i="2"/>
  <c r="BD25" i="2"/>
  <c r="CY25" i="2"/>
  <c r="BD13" i="2"/>
  <c r="CY13" i="2"/>
  <c r="DA13" i="2" s="1"/>
  <c r="BD27" i="2"/>
  <c r="CY27" i="2"/>
  <c r="BD23" i="2"/>
  <c r="CY23" i="2"/>
  <c r="BD26" i="2"/>
  <c r="CY26" i="2"/>
  <c r="BD16" i="2"/>
  <c r="CY16" i="2"/>
  <c r="DA16" i="2" s="1"/>
  <c r="BD12" i="2"/>
  <c r="CY12" i="2"/>
  <c r="BD17" i="2"/>
  <c r="CY17" i="2"/>
  <c r="BD14" i="2"/>
  <c r="CY14" i="2"/>
  <c r="DA14" i="2" s="1"/>
  <c r="BD21" i="2"/>
  <c r="CY21" i="2"/>
  <c r="BD15" i="2"/>
  <c r="CY15" i="2"/>
  <c r="DA15" i="2" s="1"/>
  <c r="BD22" i="2"/>
  <c r="CY22" i="2"/>
  <c r="BD19" i="2"/>
  <c r="CY19" i="2"/>
  <c r="BD18" i="2"/>
  <c r="CY18" i="2"/>
  <c r="BD20" i="2"/>
  <c r="CY20" i="2"/>
  <c r="CC21" i="2"/>
  <c r="DL21" i="2" s="1"/>
  <c r="AJ88" i="4"/>
  <c r="AJ94" i="4" s="1"/>
  <c r="U22" i="2"/>
  <c r="X17" i="2"/>
  <c r="AI17" i="2"/>
  <c r="AJ17" i="2" s="1"/>
  <c r="CZ17" i="2" s="1"/>
  <c r="Z16" i="2"/>
  <c r="AA16" i="2" s="1"/>
  <c r="DA17" i="2" l="1"/>
  <c r="DA12" i="2"/>
  <c r="CC22" i="2"/>
  <c r="DL22" i="2" s="1"/>
  <c r="U23" i="2"/>
  <c r="X18" i="2"/>
  <c r="AI18" i="2"/>
  <c r="AJ18" i="2" s="1"/>
  <c r="Z17" i="2"/>
  <c r="AA17" i="2" s="1"/>
  <c r="CZ18" i="2" l="1"/>
  <c r="DA18" i="2" s="1"/>
  <c r="CC23" i="2"/>
  <c r="DL23" i="2" s="1"/>
  <c r="U24" i="2"/>
  <c r="X19" i="2"/>
  <c r="AI19" i="2"/>
  <c r="AJ19" i="2" s="1"/>
  <c r="Z18" i="2"/>
  <c r="AA18" i="2" s="1"/>
  <c r="CZ19" i="2" l="1"/>
  <c r="DA19" i="2" s="1"/>
  <c r="CC24" i="2"/>
  <c r="DL24" i="2" s="1"/>
  <c r="U25" i="2"/>
  <c r="X20" i="2"/>
  <c r="AI20" i="2"/>
  <c r="AJ20" i="2" s="1"/>
  <c r="Z19" i="2"/>
  <c r="AA19" i="2" s="1"/>
  <c r="CZ20" i="2" l="1"/>
  <c r="DA20" i="2" s="1"/>
  <c r="CC25" i="2"/>
  <c r="DL25" i="2" s="1"/>
  <c r="U26" i="2"/>
  <c r="X21" i="2"/>
  <c r="AF12" i="2"/>
  <c r="CS12" i="2" s="1"/>
  <c r="AI21" i="2"/>
  <c r="AJ21" i="2" s="1"/>
  <c r="Z20" i="2"/>
  <c r="AA20" i="2" s="1"/>
  <c r="CZ21" i="2" l="1"/>
  <c r="DA21" i="2" s="1"/>
  <c r="BR12" i="2"/>
  <c r="CC26" i="2"/>
  <c r="DL26" i="2" s="1"/>
  <c r="U27" i="2"/>
  <c r="X22" i="2"/>
  <c r="AF13" i="2"/>
  <c r="CS13" i="2" s="1"/>
  <c r="AI22" i="2"/>
  <c r="AJ22" i="2" s="1"/>
  <c r="Z21" i="2"/>
  <c r="AA21" i="2" s="1"/>
  <c r="CZ22" i="2" l="1"/>
  <c r="DA22" i="2" s="1"/>
  <c r="CC27" i="2"/>
  <c r="DL27" i="2" s="1"/>
  <c r="BR13" i="2"/>
  <c r="BT12" i="2"/>
  <c r="BV12" i="2" s="1"/>
  <c r="U28" i="2"/>
  <c r="X23" i="2"/>
  <c r="AF14" i="2"/>
  <c r="CS14" i="2" s="1"/>
  <c r="AI23" i="2"/>
  <c r="AJ23" i="2" s="1"/>
  <c r="Z22" i="2"/>
  <c r="AA22" i="2" s="1"/>
  <c r="CZ23" i="2" l="1"/>
  <c r="DA23" i="2" s="1"/>
  <c r="DF12" i="2"/>
  <c r="BR14" i="2"/>
  <c r="BT13" i="2"/>
  <c r="BV13" i="2" s="1"/>
  <c r="DF13" i="2" s="1"/>
  <c r="CC28" i="2"/>
  <c r="DL28" i="2" s="1"/>
  <c r="U29" i="2"/>
  <c r="U30" i="2" s="1"/>
  <c r="X24" i="2"/>
  <c r="AF15" i="2"/>
  <c r="CS15" i="2" s="1"/>
  <c r="R63" i="4"/>
  <c r="AI24" i="2"/>
  <c r="AJ24" i="2" s="1"/>
  <c r="Z23" i="2"/>
  <c r="AA23" i="2" s="1"/>
  <c r="CZ24" i="2" l="1"/>
  <c r="DA24" i="2" s="1"/>
  <c r="CC30" i="2"/>
  <c r="DL30" i="2" s="1"/>
  <c r="U31" i="2"/>
  <c r="BT14" i="2"/>
  <c r="BV14" i="2" s="1"/>
  <c r="CC29" i="2"/>
  <c r="DL29" i="2" s="1"/>
  <c r="BR15" i="2"/>
  <c r="X25" i="2"/>
  <c r="AF16" i="2"/>
  <c r="CS16" i="2" s="1"/>
  <c r="AI25" i="2"/>
  <c r="AJ25" i="2" s="1"/>
  <c r="Z24" i="2"/>
  <c r="AA24" i="2" s="1"/>
  <c r="CZ25" i="2" l="1"/>
  <c r="DA25" i="2" s="1"/>
  <c r="U32" i="2"/>
  <c r="CC32" i="2" s="1"/>
  <c r="DL32" i="2" s="1"/>
  <c r="CC31" i="2"/>
  <c r="DL31" i="2" s="1"/>
  <c r="DF14" i="2"/>
  <c r="BR16" i="2"/>
  <c r="BT15" i="2"/>
  <c r="BV15" i="2" s="1"/>
  <c r="X26" i="2"/>
  <c r="AF17" i="2"/>
  <c r="CS17" i="2" s="1"/>
  <c r="AI26" i="2"/>
  <c r="AJ26" i="2" s="1"/>
  <c r="Z25" i="2"/>
  <c r="AA25" i="2" s="1"/>
  <c r="CZ26" i="2" l="1"/>
  <c r="DA26" i="2" s="1"/>
  <c r="DF15" i="2"/>
  <c r="BR17" i="2"/>
  <c r="BT16" i="2"/>
  <c r="BV16" i="2" s="1"/>
  <c r="X27" i="2"/>
  <c r="AF18" i="2"/>
  <c r="CS18" i="2" s="1"/>
  <c r="AI27" i="2"/>
  <c r="AJ27" i="2" s="1"/>
  <c r="Z26" i="2"/>
  <c r="AA26" i="2" s="1"/>
  <c r="CZ27" i="2" l="1"/>
  <c r="DA27" i="2" s="1"/>
  <c r="CC34" i="2"/>
  <c r="DL34" i="2"/>
  <c r="DF16" i="2"/>
  <c r="BR18" i="2"/>
  <c r="BT17" i="2"/>
  <c r="BV17" i="2" s="1"/>
  <c r="X28" i="2"/>
  <c r="AF19" i="2"/>
  <c r="CS19" i="2" s="1"/>
  <c r="AI28" i="2"/>
  <c r="AJ28" i="2" s="1"/>
  <c r="Z27" i="2"/>
  <c r="AA27" i="2" s="1"/>
  <c r="CZ28" i="2" l="1"/>
  <c r="DA28" i="2" s="1"/>
  <c r="DF17" i="2"/>
  <c r="BR19" i="2"/>
  <c r="BT18" i="2"/>
  <c r="BV18" i="2" s="1"/>
  <c r="X29" i="2"/>
  <c r="X30" i="2" s="1"/>
  <c r="AF20" i="2"/>
  <c r="CS20" i="2" s="1"/>
  <c r="AI29" i="2"/>
  <c r="AJ29" i="2" s="1"/>
  <c r="Z28" i="2"/>
  <c r="AA28" i="2" s="1"/>
  <c r="CZ29" i="2" l="1"/>
  <c r="DA29" i="2" s="1"/>
  <c r="Z30" i="2"/>
  <c r="X31" i="2"/>
  <c r="DF18" i="2"/>
  <c r="BR20" i="2"/>
  <c r="BT19" i="2"/>
  <c r="BV19" i="2" s="1"/>
  <c r="AF21" i="2"/>
  <c r="CS21" i="2" s="1"/>
  <c r="Z29" i="2"/>
  <c r="AA29" i="2" s="1"/>
  <c r="AA30" i="2" l="1"/>
  <c r="X32" i="2"/>
  <c r="Z32" i="2" s="1"/>
  <c r="Z31" i="2"/>
  <c r="DF19" i="2"/>
  <c r="BR21" i="2"/>
  <c r="BT20" i="2"/>
  <c r="BV20" i="2" s="1"/>
  <c r="AF22" i="2"/>
  <c r="CS22" i="2" s="1"/>
  <c r="AA31" i="2" l="1"/>
  <c r="AA32" i="2" s="1"/>
  <c r="DF20" i="2"/>
  <c r="BR22" i="2"/>
  <c r="BT21" i="2"/>
  <c r="BV21" i="2" s="1"/>
  <c r="AF23" i="2"/>
  <c r="CS23" i="2" s="1"/>
  <c r="DF21" i="2" l="1"/>
  <c r="BR23" i="2"/>
  <c r="BT22" i="2"/>
  <c r="BV22" i="2" s="1"/>
  <c r="AF24" i="2"/>
  <c r="CS24" i="2" s="1"/>
  <c r="DF22" i="2" l="1"/>
  <c r="BR24" i="2"/>
  <c r="BT23" i="2"/>
  <c r="BV23" i="2" s="1"/>
  <c r="AF25" i="2"/>
  <c r="CS25" i="2" s="1"/>
  <c r="DF23" i="2" l="1"/>
  <c r="BR25" i="2"/>
  <c r="BT24" i="2"/>
  <c r="BV24" i="2" s="1"/>
  <c r="AF26" i="2"/>
  <c r="CS26" i="2" s="1"/>
  <c r="DF24" i="2" l="1"/>
  <c r="BR26" i="2"/>
  <c r="BT25" i="2"/>
  <c r="BV25" i="2" s="1"/>
  <c r="AF27" i="2"/>
  <c r="CS27" i="2" s="1"/>
  <c r="DF25" i="2" l="1"/>
  <c r="BR27" i="2"/>
  <c r="BT26" i="2"/>
  <c r="BV26" i="2" s="1"/>
  <c r="AF28" i="2"/>
  <c r="CS28" i="2" s="1"/>
  <c r="DF26" i="2" l="1"/>
  <c r="BR28" i="2"/>
  <c r="BT27" i="2"/>
  <c r="BV27" i="2" s="1"/>
  <c r="AF29" i="2"/>
  <c r="CS29" i="2" s="1"/>
  <c r="DF27" i="2" l="1"/>
  <c r="BR29" i="2"/>
  <c r="BT28" i="2"/>
  <c r="BV28" i="2" s="1"/>
  <c r="DF28" i="2" l="1"/>
  <c r="BT29" i="2"/>
  <c r="BV29" i="2" s="1"/>
  <c r="DF29" i="2" l="1"/>
  <c r="Y21" i="5" l="1"/>
  <c r="Y56" i="5"/>
  <c r="K21" i="8" l="1"/>
  <c r="X21" i="8" s="1"/>
  <c r="S190" i="4" s="1"/>
  <c r="K20" i="8" l="1"/>
  <c r="X20" i="8" s="1"/>
  <c r="R190" i="4" s="1"/>
  <c r="K18" i="8"/>
  <c r="X18" i="8" s="1"/>
  <c r="P190" i="4" s="1"/>
  <c r="K7" i="8"/>
  <c r="X7" i="8" s="1"/>
  <c r="E190" i="4" s="1"/>
  <c r="K25" i="8"/>
  <c r="X25" i="8" s="1"/>
  <c r="W190" i="4" s="1"/>
  <c r="K16" i="8"/>
  <c r="X16" i="8" s="1"/>
  <c r="N190" i="4" s="1"/>
  <c r="K9" i="8"/>
  <c r="X9" i="8" s="1"/>
  <c r="G190" i="4" s="1"/>
  <c r="K24" i="8"/>
  <c r="X24" i="8" s="1"/>
  <c r="V190" i="4" s="1"/>
  <c r="K17" i="8"/>
  <c r="X17" i="8" s="1"/>
  <c r="O190" i="4" s="1"/>
  <c r="K19" i="8"/>
  <c r="X19" i="8" s="1"/>
  <c r="Q190" i="4" s="1"/>
  <c r="K22" i="8"/>
  <c r="X22" i="8" s="1"/>
  <c r="T190" i="4" s="1"/>
  <c r="K26" i="8"/>
  <c r="X26" i="8" s="1"/>
  <c r="X190" i="4" s="1"/>
  <c r="K8" i="8"/>
  <c r="X8" i="8" s="1"/>
  <c r="F190" i="4" s="1"/>
  <c r="K10" i="8"/>
  <c r="X10" i="8" s="1"/>
  <c r="H190" i="4" s="1"/>
  <c r="K23" i="8"/>
  <c r="X23" i="8" s="1"/>
  <c r="U190" i="4" s="1"/>
  <c r="K11" i="8"/>
  <c r="X11" i="8" s="1"/>
  <c r="I190" i="4" s="1"/>
  <c r="K12" i="8"/>
  <c r="X12" i="8" s="1"/>
  <c r="J190" i="4" s="1"/>
  <c r="K13" i="8"/>
  <c r="X13" i="8" s="1"/>
  <c r="K190" i="4" s="1"/>
  <c r="K14" i="8"/>
  <c r="X14" i="8" s="1"/>
  <c r="L190" i="4" s="1"/>
  <c r="K15" i="8"/>
  <c r="X15" i="8" s="1"/>
  <c r="M190" i="4" s="1"/>
  <c r="C32" i="2" l="1"/>
  <c r="C30" i="2"/>
  <c r="C31" i="2"/>
  <c r="C29" i="2"/>
  <c r="C28" i="2"/>
  <c r="C27" i="2"/>
  <c r="C26" i="2"/>
  <c r="C25" i="2"/>
  <c r="C24" i="2"/>
  <c r="C23" i="2"/>
  <c r="C22" i="2"/>
  <c r="P18" i="11" l="1"/>
  <c r="H12" i="14" s="1"/>
  <c r="P16" i="11"/>
  <c r="P17" i="11"/>
  <c r="H11" i="14" s="1"/>
  <c r="P19" i="11"/>
  <c r="H13" i="14" s="1"/>
  <c r="P20" i="11"/>
  <c r="H14" i="14" s="1"/>
  <c r="P21" i="11"/>
  <c r="H15" i="14" s="1"/>
  <c r="P22" i="11"/>
  <c r="H16" i="14" s="1"/>
  <c r="P23" i="11"/>
  <c r="H17" i="14" s="1"/>
  <c r="P24" i="11"/>
  <c r="H18" i="14" s="1"/>
  <c r="P25" i="11"/>
  <c r="H19" i="14" s="1"/>
  <c r="P26" i="11"/>
  <c r="H20" i="14" s="1"/>
  <c r="P27" i="11"/>
  <c r="H21" i="14" s="1"/>
  <c r="P28" i="11"/>
  <c r="H22" i="14" s="1"/>
  <c r="P29" i="11"/>
  <c r="H23" i="14" s="1"/>
  <c r="P30" i="11"/>
  <c r="H24" i="14" s="1"/>
  <c r="P31" i="11"/>
  <c r="H25" i="14" s="1"/>
  <c r="P32" i="11"/>
  <c r="H26" i="14" s="1"/>
  <c r="P33" i="11"/>
  <c r="H27" i="14" s="1"/>
  <c r="P34" i="11"/>
  <c r="H28" i="14" s="1"/>
  <c r="P35" i="11"/>
  <c r="H29" i="14" s="1"/>
  <c r="P36" i="11"/>
  <c r="H30" i="14" s="1"/>
  <c r="M38" i="11"/>
  <c r="Q16" i="11" l="1"/>
  <c r="Q17" i="11" s="1"/>
  <c r="R17" i="11" s="1"/>
  <c r="T17" i="11" s="1"/>
  <c r="H10" i="14"/>
  <c r="P38" i="11"/>
  <c r="R16" i="11" l="1"/>
  <c r="T16" i="11" s="1"/>
  <c r="Q18" i="11"/>
  <c r="R18" i="11" s="1"/>
  <c r="T18" i="11" s="1"/>
  <c r="Q19" i="11" l="1"/>
  <c r="R19" i="11" s="1"/>
  <c r="T19" i="11" s="1"/>
  <c r="Q20" i="11" l="1"/>
  <c r="Q21" i="11" l="1"/>
  <c r="R20" i="11"/>
  <c r="T20" i="11" s="1"/>
  <c r="Q22" i="11" l="1"/>
  <c r="R22" i="11" s="1"/>
  <c r="T22" i="11" s="1"/>
  <c r="R21" i="11"/>
  <c r="T21" i="11" s="1"/>
  <c r="Q23" i="11" l="1"/>
  <c r="R23" i="11" s="1"/>
  <c r="T23" i="11" s="1"/>
  <c r="Q24" i="11" l="1"/>
  <c r="Q25" i="11" l="1"/>
  <c r="R24" i="11"/>
  <c r="T24" i="11" s="1"/>
  <c r="Q26" i="11" l="1"/>
  <c r="R26" i="11" s="1"/>
  <c r="T26" i="11" s="1"/>
  <c r="R25" i="11"/>
  <c r="T25" i="11" s="1"/>
  <c r="Q27" i="11" l="1"/>
  <c r="Q28" i="11" l="1"/>
  <c r="R28" i="11" s="1"/>
  <c r="T28" i="11" s="1"/>
  <c r="R27" i="11"/>
  <c r="T27" i="11" s="1"/>
  <c r="Q29" i="11" l="1"/>
  <c r="R29" i="11" s="1"/>
  <c r="T29" i="11" s="1"/>
  <c r="Q30" i="11" l="1"/>
  <c r="Q31" i="11" l="1"/>
  <c r="R31" i="11" s="1"/>
  <c r="T31" i="11" s="1"/>
  <c r="R30" i="11"/>
  <c r="T30" i="11" s="1"/>
  <c r="Q32" i="11" l="1"/>
  <c r="Q33" i="11" l="1"/>
  <c r="R33" i="11" s="1"/>
  <c r="T33" i="11" s="1"/>
  <c r="R32" i="11"/>
  <c r="T32" i="11" s="1"/>
  <c r="Q34" i="11" l="1"/>
  <c r="R34" i="11" s="1"/>
  <c r="T34" i="11" s="1"/>
  <c r="Q35" i="11" l="1"/>
  <c r="R35" i="11" s="1"/>
  <c r="T35" i="11" s="1"/>
  <c r="Q36" i="11" l="1"/>
  <c r="R36" i="11" s="1"/>
  <c r="T36" i="11" s="1"/>
  <c r="T38" i="11" s="1"/>
  <c r="T40" i="11" s="1"/>
  <c r="I10" i="14" l="1"/>
  <c r="J10" i="14" l="1"/>
  <c r="K10" i="14" s="1"/>
  <c r="L10" i="14" s="1"/>
  <c r="N10" i="14" s="1"/>
  <c r="P10" i="14" l="1"/>
  <c r="Q10" i="14" s="1"/>
  <c r="F12" i="2" s="1"/>
  <c r="I16" i="11" l="1"/>
  <c r="G12" i="2"/>
  <c r="H12" i="2" l="1"/>
  <c r="C13" i="2" s="1"/>
  <c r="I27" i="14"/>
  <c r="I21" i="14"/>
  <c r="I18" i="14"/>
  <c r="I25" i="14"/>
  <c r="I24" i="14"/>
  <c r="I15" i="14"/>
  <c r="I19" i="14"/>
  <c r="I17" i="14"/>
  <c r="I23" i="14"/>
  <c r="I12" i="14"/>
  <c r="I20" i="14"/>
  <c r="I13" i="14"/>
  <c r="I28" i="14"/>
  <c r="I22" i="14"/>
  <c r="I29" i="14"/>
  <c r="I30" i="14"/>
  <c r="I16" i="14"/>
  <c r="I14" i="14"/>
  <c r="I26" i="14"/>
  <c r="I11" i="14"/>
  <c r="J21" i="14" l="1"/>
  <c r="K21" i="14" s="1"/>
  <c r="L21" i="14" s="1"/>
  <c r="N21" i="14" s="1"/>
  <c r="P21" i="14" s="1"/>
  <c r="J27" i="14"/>
  <c r="K27" i="14" s="1"/>
  <c r="L27" i="14" s="1"/>
  <c r="N27" i="14" s="1"/>
  <c r="P27" i="14" s="1"/>
  <c r="Q27" i="14" s="1"/>
  <c r="F29" i="2" s="1"/>
  <c r="J18" i="14"/>
  <c r="K18" i="14" s="1"/>
  <c r="L18" i="14" s="1"/>
  <c r="N18" i="14" s="1"/>
  <c r="P18" i="14" s="1"/>
  <c r="Q18" i="14" s="1"/>
  <c r="F20" i="2" s="1"/>
  <c r="J12" i="14"/>
  <c r="K12" i="14" s="1"/>
  <c r="L12" i="14" s="1"/>
  <c r="N12" i="14" s="1"/>
  <c r="P12" i="14" s="1"/>
  <c r="J17" i="14"/>
  <c r="K17" i="14" s="1"/>
  <c r="L17" i="14" s="1"/>
  <c r="N17" i="14" s="1"/>
  <c r="P17" i="14" s="1"/>
  <c r="J23" i="14"/>
  <c r="K23" i="14" s="1"/>
  <c r="L23" i="14" s="1"/>
  <c r="N23" i="14" s="1"/>
  <c r="P23" i="14" s="1"/>
  <c r="Q23" i="14" s="1"/>
  <c r="F25" i="2" s="1"/>
  <c r="J24" i="14"/>
  <c r="K24" i="14" s="1"/>
  <c r="L24" i="14" s="1"/>
  <c r="N24" i="14" s="1"/>
  <c r="J29" i="14"/>
  <c r="K29" i="14" s="1"/>
  <c r="L29" i="14" s="1"/>
  <c r="N29" i="14" s="1"/>
  <c r="J22" i="14"/>
  <c r="K22" i="14" s="1"/>
  <c r="L22" i="14" s="1"/>
  <c r="N22" i="14" s="1"/>
  <c r="P22" i="14" s="1"/>
  <c r="Q22" i="14" s="1"/>
  <c r="F24" i="2" s="1"/>
  <c r="J15" i="14"/>
  <c r="K15" i="14" s="1"/>
  <c r="L15" i="14" s="1"/>
  <c r="N15" i="14" s="1"/>
  <c r="P15" i="14" s="1"/>
  <c r="Q15" i="14" s="1"/>
  <c r="F17" i="2" s="1"/>
  <c r="J20" i="14"/>
  <c r="K20" i="14" s="1"/>
  <c r="L20" i="14" s="1"/>
  <c r="N20" i="14" s="1"/>
  <c r="P20" i="14" s="1"/>
  <c r="Q20" i="14" s="1"/>
  <c r="F22" i="2" s="1"/>
  <c r="J14" i="14"/>
  <c r="K14" i="14" s="1"/>
  <c r="L14" i="14" s="1"/>
  <c r="N14" i="14" s="1"/>
  <c r="P14" i="14" s="1"/>
  <c r="Q14" i="14" s="1"/>
  <c r="F16" i="2" s="1"/>
  <c r="J11" i="14"/>
  <c r="K11" i="14" s="1"/>
  <c r="L11" i="14" s="1"/>
  <c r="N11" i="14" s="1"/>
  <c r="P11" i="14" s="1"/>
  <c r="Q11" i="14" s="1"/>
  <c r="F13" i="2" s="1"/>
  <c r="J26" i="14"/>
  <c r="K26" i="14" s="1"/>
  <c r="L26" i="14" s="1"/>
  <c r="N26" i="14" s="1"/>
  <c r="P26" i="14" s="1"/>
  <c r="Q26" i="14" s="1"/>
  <c r="F28" i="2" s="1"/>
  <c r="J30" i="14"/>
  <c r="K30" i="14" s="1"/>
  <c r="L30" i="14" s="1"/>
  <c r="N30" i="14" s="1"/>
  <c r="P30" i="14" s="1"/>
  <c r="J28" i="14"/>
  <c r="K28" i="14" s="1"/>
  <c r="L28" i="14" s="1"/>
  <c r="N28" i="14" s="1"/>
  <c r="P28" i="14" s="1"/>
  <c r="Q28" i="14" s="1"/>
  <c r="F30" i="2" s="1"/>
  <c r="J25" i="14"/>
  <c r="K25" i="14" s="1"/>
  <c r="L25" i="14" s="1"/>
  <c r="N25" i="14" s="1"/>
  <c r="J13" i="14"/>
  <c r="K13" i="14" s="1"/>
  <c r="L13" i="14" s="1"/>
  <c r="N13" i="14" s="1"/>
  <c r="J19" i="14"/>
  <c r="K19" i="14" s="1"/>
  <c r="L19" i="14" s="1"/>
  <c r="N19" i="14" s="1"/>
  <c r="J16" i="14"/>
  <c r="K16" i="14" s="1"/>
  <c r="L16" i="14" s="1"/>
  <c r="N16" i="14" s="1"/>
  <c r="Q21" i="14" l="1"/>
  <c r="F23" i="2" s="1"/>
  <c r="I27" i="11" s="1"/>
  <c r="Q12" i="14"/>
  <c r="F14" i="2" s="1"/>
  <c r="I18" i="11" s="1"/>
  <c r="Q17" i="14"/>
  <c r="F19" i="2" s="1"/>
  <c r="I23" i="11" s="1"/>
  <c r="P29" i="14"/>
  <c r="Q29" i="14" s="1"/>
  <c r="F31" i="2" s="1"/>
  <c r="P24" i="14"/>
  <c r="Q24" i="14" s="1"/>
  <c r="F26" i="2" s="1"/>
  <c r="G29" i="2"/>
  <c r="I33" i="11"/>
  <c r="Q30" i="14"/>
  <c r="F32" i="2" s="1"/>
  <c r="I36" i="11" s="1"/>
  <c r="G13" i="2"/>
  <c r="I17" i="11"/>
  <c r="G25" i="2"/>
  <c r="I29" i="11"/>
  <c r="I26" i="11"/>
  <c r="G22" i="2"/>
  <c r="I34" i="11"/>
  <c r="G30" i="2"/>
  <c r="I24" i="11"/>
  <c r="G20" i="2"/>
  <c r="I21" i="11"/>
  <c r="G17" i="2"/>
  <c r="I28" i="11"/>
  <c r="G24" i="2"/>
  <c r="P13" i="14"/>
  <c r="Q13" i="14" s="1"/>
  <c r="F15" i="2" s="1"/>
  <c r="P16" i="14"/>
  <c r="Q16" i="14" s="1"/>
  <c r="F18" i="2" s="1"/>
  <c r="P19" i="14"/>
  <c r="Q19" i="14" s="1"/>
  <c r="F21" i="2" s="1"/>
  <c r="G28" i="2"/>
  <c r="I32" i="11"/>
  <c r="P25" i="14"/>
  <c r="Q25" i="14" s="1"/>
  <c r="F27" i="2" s="1"/>
  <c r="I20" i="11"/>
  <c r="G16" i="2"/>
  <c r="G23" i="2" l="1"/>
  <c r="G14" i="2"/>
  <c r="H14" i="2" s="1"/>
  <c r="C15" i="2" s="1"/>
  <c r="G19" i="2"/>
  <c r="G32" i="2"/>
  <c r="I35" i="11"/>
  <c r="G31" i="2"/>
  <c r="G26" i="2"/>
  <c r="I30" i="11"/>
  <c r="I25" i="11"/>
  <c r="G21" i="2"/>
  <c r="G27" i="2"/>
  <c r="I31" i="11"/>
  <c r="G15" i="2"/>
  <c r="I19" i="11"/>
  <c r="I22" i="11"/>
  <c r="G18" i="2"/>
  <c r="H13" i="2"/>
  <c r="C14" i="2" s="1"/>
  <c r="H17" i="2" l="1"/>
  <c r="C18" i="2" s="1"/>
  <c r="H31" i="2"/>
  <c r="H29" i="2"/>
  <c r="H16" i="2"/>
  <c r="C17" i="2" s="1"/>
  <c r="H20" i="2"/>
  <c r="C21" i="2" s="1"/>
  <c r="H25" i="2"/>
  <c r="H26" i="2"/>
  <c r="H21" i="2"/>
  <c r="H22" i="2"/>
  <c r="H15" i="2"/>
  <c r="C16" i="2" s="1"/>
  <c r="H30" i="2"/>
  <c r="H19" i="2"/>
  <c r="C20" i="2" s="1"/>
  <c r="H23" i="2"/>
  <c r="H28" i="2"/>
  <c r="H32" i="2"/>
  <c r="D3" i="11" s="1"/>
  <c r="D7" i="11" s="1"/>
  <c r="D9" i="11" s="1"/>
  <c r="H24" i="2"/>
  <c r="H18" i="2"/>
  <c r="C19" i="2" s="1"/>
  <c r="H27" i="2"/>
  <c r="C28" i="11" l="1"/>
  <c r="C19" i="11"/>
  <c r="C23" i="11"/>
  <c r="C27" i="11"/>
  <c r="C20" i="11"/>
  <c r="C31" i="11"/>
  <c r="C32" i="11"/>
  <c r="C29" i="11"/>
  <c r="C33" i="11"/>
  <c r="C18" i="11"/>
  <c r="C30" i="11"/>
  <c r="C24" i="11"/>
  <c r="C16" i="11"/>
  <c r="C25" i="11"/>
  <c r="C26" i="11"/>
  <c r="C21" i="11"/>
  <c r="C35" i="11"/>
  <c r="F36" i="11" s="1"/>
  <c r="M32" i="2" s="1"/>
  <c r="C22" i="11"/>
  <c r="C34" i="11"/>
  <c r="C17" i="11"/>
  <c r="F19" i="11" l="1"/>
  <c r="M15" i="2" s="1"/>
  <c r="F28" i="11"/>
  <c r="M24" i="2" s="1"/>
  <c r="F25" i="11"/>
  <c r="M21" i="2" s="1"/>
  <c r="F31" i="11"/>
  <c r="M27" i="2" s="1"/>
  <c r="F35" i="11"/>
  <c r="M31" i="2" s="1"/>
  <c r="F34" i="11"/>
  <c r="M30" i="2" s="1"/>
  <c r="F23" i="11"/>
  <c r="M19" i="2" s="1"/>
  <c r="F21" i="11"/>
  <c r="M17" i="2" s="1"/>
  <c r="F18" i="11"/>
  <c r="M14" i="2" s="1"/>
  <c r="F30" i="11"/>
  <c r="M26" i="2" s="1"/>
  <c r="F33" i="11"/>
  <c r="M29" i="2" s="1"/>
  <c r="F22" i="11"/>
  <c r="M18" i="2" s="1"/>
  <c r="F27" i="11"/>
  <c r="M23" i="2" s="1"/>
  <c r="F24" i="11"/>
  <c r="M20" i="2" s="1"/>
  <c r="F26" i="11"/>
  <c r="M22" i="2" s="1"/>
  <c r="F20" i="11"/>
  <c r="M16" i="2" s="1"/>
  <c r="F32" i="11"/>
  <c r="M28" i="2" s="1"/>
  <c r="F17" i="11"/>
  <c r="M13" i="2" s="1"/>
  <c r="F16" i="11"/>
  <c r="C38" i="11"/>
  <c r="F29" i="11"/>
  <c r="M25" i="2" s="1"/>
  <c r="G16" i="11" l="1"/>
  <c r="F38" i="11"/>
  <c r="M12" i="2"/>
  <c r="N32" i="2" l="1"/>
  <c r="N28" i="2"/>
  <c r="N25" i="2"/>
  <c r="N31" i="2"/>
  <c r="N26" i="2"/>
  <c r="N27" i="2"/>
  <c r="N15" i="2"/>
  <c r="N16" i="2"/>
  <c r="N24" i="2"/>
  <c r="N18" i="2"/>
  <c r="N20" i="2"/>
  <c r="N29" i="2"/>
  <c r="N23" i="2"/>
  <c r="N21" i="2"/>
  <c r="N12" i="2"/>
  <c r="N13" i="2"/>
  <c r="N17" i="2"/>
  <c r="N30" i="2"/>
  <c r="N22" i="2"/>
  <c r="N14" i="2"/>
  <c r="N19" i="2"/>
  <c r="G17" i="11"/>
  <c r="H17" i="11" s="1"/>
  <c r="J17" i="11" s="1"/>
  <c r="H16" i="11"/>
  <c r="J16" i="11" s="1"/>
  <c r="P30" i="2" l="1"/>
  <c r="Q30" i="2" s="1"/>
  <c r="BN30" i="2" s="1"/>
  <c r="BO30" i="2" s="1"/>
  <c r="P32" i="2"/>
  <c r="Q32" i="2" s="1"/>
  <c r="R32" i="2" s="1"/>
  <c r="P17" i="2"/>
  <c r="Q17" i="2" s="1"/>
  <c r="BN17" i="2" s="1"/>
  <c r="BO17" i="2" s="1"/>
  <c r="P15" i="2"/>
  <c r="Q15" i="2" s="1"/>
  <c r="BN15" i="2" s="1"/>
  <c r="BO15" i="2" s="1"/>
  <c r="P23" i="2"/>
  <c r="Q23" i="2" s="1"/>
  <c r="R23" i="2" s="1"/>
  <c r="P21" i="2"/>
  <c r="Q21" i="2" s="1"/>
  <c r="BN21" i="2" s="1"/>
  <c r="BO21" i="2" s="1"/>
  <c r="P31" i="2"/>
  <c r="Q31" i="2" s="1"/>
  <c r="R31" i="2" s="1"/>
  <c r="P25" i="2"/>
  <c r="Q25" i="2" s="1"/>
  <c r="BN25" i="2" s="1"/>
  <c r="BO25" i="2" s="1"/>
  <c r="P28" i="2"/>
  <c r="Q28" i="2" s="1"/>
  <c r="BN28" i="2" s="1"/>
  <c r="BO28" i="2" s="1"/>
  <c r="P19" i="2"/>
  <c r="Q19" i="2" s="1"/>
  <c r="R19" i="2" s="1"/>
  <c r="G18" i="11"/>
  <c r="P16" i="2"/>
  <c r="Q16" i="2" s="1"/>
  <c r="P18" i="2"/>
  <c r="Q18" i="2" s="1"/>
  <c r="P14" i="2"/>
  <c r="Q14" i="2" s="1"/>
  <c r="P13" i="2"/>
  <c r="Q13" i="2" s="1"/>
  <c r="P12" i="2"/>
  <c r="Q12" i="2" s="1"/>
  <c r="P22" i="2"/>
  <c r="Q22" i="2" s="1"/>
  <c r="P29" i="2"/>
  <c r="Q29" i="2" s="1"/>
  <c r="P20" i="2"/>
  <c r="Q20" i="2" s="1"/>
  <c r="P27" i="2"/>
  <c r="Q27" i="2" s="1"/>
  <c r="P26" i="2"/>
  <c r="Q26" i="2" s="1"/>
  <c r="P24" i="2"/>
  <c r="Q24" i="2" s="1"/>
  <c r="R30" i="2" l="1"/>
  <c r="BC30" i="2" s="1"/>
  <c r="BE30" i="2" s="1"/>
  <c r="BY30" i="2" s="1"/>
  <c r="R17" i="2"/>
  <c r="BC17" i="2" s="1"/>
  <c r="BE17" i="2" s="1"/>
  <c r="BY17" i="2" s="1"/>
  <c r="BN32" i="2"/>
  <c r="BO32" i="2" s="1"/>
  <c r="R15" i="2"/>
  <c r="CP15" i="2" s="1"/>
  <c r="BN23" i="2"/>
  <c r="BO23" i="2" s="1"/>
  <c r="BN31" i="2"/>
  <c r="BO31" i="2" s="1"/>
  <c r="R21" i="2"/>
  <c r="BX21" i="2" s="1"/>
  <c r="R25" i="2"/>
  <c r="BH25" i="2" s="1"/>
  <c r="R28" i="2"/>
  <c r="BC28" i="2" s="1"/>
  <c r="BE28" i="2" s="1"/>
  <c r="BY28" i="2" s="1"/>
  <c r="BN19" i="2"/>
  <c r="BO19" i="2" s="1"/>
  <c r="BH32" i="2"/>
  <c r="BC32" i="2"/>
  <c r="BE32" i="2" s="1"/>
  <c r="BY32" i="2" s="1"/>
  <c r="BX32" i="2"/>
  <c r="CP32" i="2"/>
  <c r="CH32" i="2"/>
  <c r="BN24" i="2"/>
  <c r="BO24" i="2" s="1"/>
  <c r="R24" i="2"/>
  <c r="BN14" i="2"/>
  <c r="BO14" i="2" s="1"/>
  <c r="R14" i="2"/>
  <c r="BN26" i="2"/>
  <c r="BO26" i="2" s="1"/>
  <c r="R26" i="2"/>
  <c r="R18" i="2"/>
  <c r="BN18" i="2"/>
  <c r="BO18" i="2" s="1"/>
  <c r="BN27" i="2"/>
  <c r="BO27" i="2" s="1"/>
  <c r="R27" i="2"/>
  <c r="CP19" i="2"/>
  <c r="CH19" i="2"/>
  <c r="BX19" i="2"/>
  <c r="BH19" i="2"/>
  <c r="BC19" i="2"/>
  <c r="BH31" i="2"/>
  <c r="BX31" i="2"/>
  <c r="CP31" i="2"/>
  <c r="BC31" i="2"/>
  <c r="CH31" i="2"/>
  <c r="R16" i="2"/>
  <c r="BN16" i="2"/>
  <c r="BO16" i="2" s="1"/>
  <c r="R20" i="2"/>
  <c r="BN20" i="2"/>
  <c r="BO20" i="2" s="1"/>
  <c r="G19" i="11"/>
  <c r="R29" i="2"/>
  <c r="BN29" i="2"/>
  <c r="BO29" i="2" s="1"/>
  <c r="BH23" i="2"/>
  <c r="CP23" i="2"/>
  <c r="BC23" i="2"/>
  <c r="BE23" i="2" s="1"/>
  <c r="BY23" i="2" s="1"/>
  <c r="CH23" i="2"/>
  <c r="BX23" i="2"/>
  <c r="H18" i="11"/>
  <c r="J18" i="11" s="1"/>
  <c r="BN22" i="2"/>
  <c r="BO22" i="2" s="1"/>
  <c r="R22" i="2"/>
  <c r="BN12" i="2"/>
  <c r="BO12" i="2" s="1"/>
  <c r="R12" i="2"/>
  <c r="BN13" i="2"/>
  <c r="BO13" i="2" s="1"/>
  <c r="R13" i="2"/>
  <c r="CP17" i="2" l="1"/>
  <c r="CV17" i="2" s="1"/>
  <c r="CP30" i="2"/>
  <c r="CV30" i="2" s="1"/>
  <c r="BX30" i="2"/>
  <c r="CH30" i="2"/>
  <c r="BH30" i="2"/>
  <c r="BX17" i="2"/>
  <c r="BH17" i="2"/>
  <c r="BH15" i="2"/>
  <c r="CH17" i="2"/>
  <c r="BC15" i="2"/>
  <c r="BG15" i="2" s="1"/>
  <c r="CH15" i="2"/>
  <c r="BX15" i="2"/>
  <c r="CH21" i="2"/>
  <c r="BH21" i="2"/>
  <c r="BC25" i="2"/>
  <c r="BE25" i="2" s="1"/>
  <c r="BY25" i="2" s="1"/>
  <c r="CP21" i="2"/>
  <c r="CV21" i="2" s="1"/>
  <c r="BH28" i="2"/>
  <c r="BX25" i="2"/>
  <c r="CH25" i="2"/>
  <c r="BC21" i="2"/>
  <c r="BE21" i="2" s="1"/>
  <c r="BY21" i="2" s="1"/>
  <c r="CP25" i="2"/>
  <c r="CV25" i="2" s="1"/>
  <c r="CP28" i="2"/>
  <c r="CV28" i="2" s="1"/>
  <c r="BX28" i="2"/>
  <c r="CH28" i="2"/>
  <c r="G20" i="11"/>
  <c r="H20" i="11" s="1"/>
  <c r="J20" i="11" s="1"/>
  <c r="CH26" i="2"/>
  <c r="BX26" i="2"/>
  <c r="BC26" i="2"/>
  <c r="BH26" i="2"/>
  <c r="CP26" i="2"/>
  <c r="BX22" i="2"/>
  <c r="CP22" i="2"/>
  <c r="CH22" i="2"/>
  <c r="BC22" i="2"/>
  <c r="BE22" i="2" s="1"/>
  <c r="BY22" i="2" s="1"/>
  <c r="BH22" i="2"/>
  <c r="H19" i="11"/>
  <c r="J19" i="11" s="1"/>
  <c r="CH18" i="2"/>
  <c r="BX18" i="2"/>
  <c r="CP18" i="2"/>
  <c r="BC18" i="2"/>
  <c r="BH18" i="2"/>
  <c r="CQ32" i="2"/>
  <c r="DB32" i="2" s="1"/>
  <c r="DD32" i="2" s="1"/>
  <c r="BG32" i="2"/>
  <c r="BI32" i="2" s="1"/>
  <c r="BP32" i="2" s="1"/>
  <c r="BQ32" i="2" s="1"/>
  <c r="CA32" i="2" s="1"/>
  <c r="BZ32" i="2"/>
  <c r="CI32" i="2"/>
  <c r="CJ32" i="2" s="1"/>
  <c r="CL32" i="2" s="1"/>
  <c r="CN32" i="2" s="1"/>
  <c r="CB32" i="2" s="1"/>
  <c r="DK32" i="2" s="1"/>
  <c r="BZ19" i="2"/>
  <c r="CQ19" i="2"/>
  <c r="DB19" i="2" s="1"/>
  <c r="DD19" i="2" s="1"/>
  <c r="BG19" i="2"/>
  <c r="BI19" i="2" s="1"/>
  <c r="CI19" i="2"/>
  <c r="CJ19" i="2" s="1"/>
  <c r="CL19" i="2" s="1"/>
  <c r="CN19" i="2" s="1"/>
  <c r="CB19" i="2" s="1"/>
  <c r="DK19" i="2" s="1"/>
  <c r="CV15" i="2"/>
  <c r="CP20" i="2"/>
  <c r="BX20" i="2"/>
  <c r="BH20" i="2"/>
  <c r="CH20" i="2"/>
  <c r="BC20" i="2"/>
  <c r="BE19" i="2"/>
  <c r="BY19" i="2" s="1"/>
  <c r="CI30" i="2"/>
  <c r="BG30" i="2"/>
  <c r="CQ30" i="2"/>
  <c r="DB30" i="2" s="1"/>
  <c r="DD30" i="2" s="1"/>
  <c r="BZ30" i="2"/>
  <c r="CH14" i="2"/>
  <c r="BC14" i="2"/>
  <c r="BX14" i="2"/>
  <c r="CP14" i="2"/>
  <c r="BH14" i="2"/>
  <c r="CH13" i="2"/>
  <c r="BC13" i="2"/>
  <c r="BE13" i="2" s="1"/>
  <c r="BY13" i="2" s="1"/>
  <c r="BH13" i="2"/>
  <c r="CP13" i="2"/>
  <c r="BX13" i="2"/>
  <c r="CQ23" i="2"/>
  <c r="DB23" i="2" s="1"/>
  <c r="DD23" i="2" s="1"/>
  <c r="BG23" i="2"/>
  <c r="BI23" i="2" s="1"/>
  <c r="BP23" i="2" s="1"/>
  <c r="BQ23" i="2" s="1"/>
  <c r="CA23" i="2" s="1"/>
  <c r="BZ23" i="2"/>
  <c r="CI23" i="2"/>
  <c r="CJ23" i="2" s="1"/>
  <c r="CL23" i="2" s="1"/>
  <c r="CN23" i="2" s="1"/>
  <c r="CB23" i="2" s="1"/>
  <c r="DK23" i="2" s="1"/>
  <c r="CP16" i="2"/>
  <c r="BH16" i="2"/>
  <c r="CH16" i="2"/>
  <c r="BX16" i="2"/>
  <c r="BC16" i="2"/>
  <c r="CV23" i="2"/>
  <c r="CV19" i="2"/>
  <c r="BH24" i="2"/>
  <c r="CP24" i="2"/>
  <c r="BX24" i="2"/>
  <c r="CH24" i="2"/>
  <c r="BC24" i="2"/>
  <c r="BE24" i="2" s="1"/>
  <c r="BY24" i="2" s="1"/>
  <c r="CQ31" i="2"/>
  <c r="DB31" i="2" s="1"/>
  <c r="DD31" i="2" s="1"/>
  <c r="CI31" i="2"/>
  <c r="CJ31" i="2" s="1"/>
  <c r="CL31" i="2" s="1"/>
  <c r="CN31" i="2" s="1"/>
  <c r="CB31" i="2" s="1"/>
  <c r="DK31" i="2" s="1"/>
  <c r="BG31" i="2"/>
  <c r="BI31" i="2" s="1"/>
  <c r="BZ31" i="2"/>
  <c r="CV31" i="2"/>
  <c r="CQ28" i="2"/>
  <c r="DB28" i="2" s="1"/>
  <c r="DD28" i="2" s="1"/>
  <c r="BZ28" i="2"/>
  <c r="BG28" i="2"/>
  <c r="CI28" i="2"/>
  <c r="BX27" i="2"/>
  <c r="CP27" i="2"/>
  <c r="BC27" i="2"/>
  <c r="BE27" i="2" s="1"/>
  <c r="BY27" i="2" s="1"/>
  <c r="CH27" i="2"/>
  <c r="BH27" i="2"/>
  <c r="S21" i="2"/>
  <c r="S31" i="2"/>
  <c r="S24" i="2"/>
  <c r="S27" i="2"/>
  <c r="BX12" i="2"/>
  <c r="CP12" i="2"/>
  <c r="S13" i="2"/>
  <c r="S20" i="2"/>
  <c r="S19" i="2"/>
  <c r="BC12" i="2"/>
  <c r="BZ12" i="2" s="1"/>
  <c r="S23" i="2"/>
  <c r="S26" i="2"/>
  <c r="S14" i="2"/>
  <c r="S22" i="2"/>
  <c r="S29" i="2"/>
  <c r="S30" i="2"/>
  <c r="S17" i="2"/>
  <c r="CH12" i="2"/>
  <c r="S28" i="2"/>
  <c r="BH12" i="2"/>
  <c r="S16" i="2"/>
  <c r="S15" i="2"/>
  <c r="S25" i="2"/>
  <c r="S18" i="2"/>
  <c r="S12" i="2"/>
  <c r="S32" i="2"/>
  <c r="BZ17" i="2"/>
  <c r="CI17" i="2"/>
  <c r="CQ17" i="2"/>
  <c r="DB17" i="2" s="1"/>
  <c r="DD17" i="2" s="1"/>
  <c r="BG17" i="2"/>
  <c r="CP29" i="2"/>
  <c r="CH29" i="2"/>
  <c r="BX29" i="2"/>
  <c r="BH29" i="2"/>
  <c r="BC29" i="2"/>
  <c r="BE31" i="2"/>
  <c r="BY31" i="2" s="1"/>
  <c r="CV32" i="2"/>
  <c r="BI17" i="2" l="1"/>
  <c r="BP17" i="2" s="1"/>
  <c r="BQ17" i="2" s="1"/>
  <c r="CA17" i="2" s="1"/>
  <c r="CJ30" i="2"/>
  <c r="CL30" i="2" s="1"/>
  <c r="CN30" i="2" s="1"/>
  <c r="CB30" i="2" s="1"/>
  <c r="DK30" i="2" s="1"/>
  <c r="BI30" i="2"/>
  <c r="BP30" i="2" s="1"/>
  <c r="BQ30" i="2" s="1"/>
  <c r="CA30" i="2" s="1"/>
  <c r="CJ17" i="2"/>
  <c r="CL17" i="2" s="1"/>
  <c r="CN17" i="2" s="1"/>
  <c r="CB17" i="2" s="1"/>
  <c r="DK17" i="2" s="1"/>
  <c r="BI15" i="2"/>
  <c r="BZ15" i="2"/>
  <c r="CI15" i="2"/>
  <c r="CJ15" i="2" s="1"/>
  <c r="CL15" i="2" s="1"/>
  <c r="CN15" i="2" s="1"/>
  <c r="CB15" i="2" s="1"/>
  <c r="DK15" i="2" s="1"/>
  <c r="BE15" i="2"/>
  <c r="BY15" i="2" s="1"/>
  <c r="CQ15" i="2"/>
  <c r="DB15" i="2" s="1"/>
  <c r="DD15" i="2" s="1"/>
  <c r="BG25" i="2"/>
  <c r="BI25" i="2" s="1"/>
  <c r="BP25" i="2" s="1"/>
  <c r="BQ25" i="2" s="1"/>
  <c r="CA25" i="2" s="1"/>
  <c r="BI28" i="2"/>
  <c r="BP28" i="2" s="1"/>
  <c r="BQ28" i="2" s="1"/>
  <c r="CA28" i="2" s="1"/>
  <c r="BZ25" i="2"/>
  <c r="CI25" i="2"/>
  <c r="CJ25" i="2" s="1"/>
  <c r="CL25" i="2" s="1"/>
  <c r="CN25" i="2" s="1"/>
  <c r="CB25" i="2" s="1"/>
  <c r="CQ25" i="2"/>
  <c r="DB25" i="2" s="1"/>
  <c r="DD25" i="2" s="1"/>
  <c r="CI21" i="2"/>
  <c r="CJ21" i="2" s="1"/>
  <c r="CL21" i="2" s="1"/>
  <c r="CN21" i="2" s="1"/>
  <c r="CB21" i="2" s="1"/>
  <c r="DK21" i="2" s="1"/>
  <c r="BG21" i="2"/>
  <c r="BI21" i="2" s="1"/>
  <c r="BP21" i="2" s="1"/>
  <c r="BQ21" i="2" s="1"/>
  <c r="CA21" i="2" s="1"/>
  <c r="BZ21" i="2"/>
  <c r="CQ21" i="2"/>
  <c r="DB21" i="2" s="1"/>
  <c r="DD21" i="2" s="1"/>
  <c r="CJ28" i="2"/>
  <c r="CL28" i="2" s="1"/>
  <c r="CN28" i="2" s="1"/>
  <c r="CB28" i="2" s="1"/>
  <c r="DK28" i="2" s="1"/>
  <c r="CD23" i="2"/>
  <c r="O187" i="4" s="1"/>
  <c r="O193" i="4" s="1"/>
  <c r="CR19" i="2"/>
  <c r="CT19" i="2" s="1"/>
  <c r="CR30" i="2"/>
  <c r="CT30" i="2" s="1"/>
  <c r="BP31" i="2"/>
  <c r="BQ31" i="2" s="1"/>
  <c r="CA31" i="2" s="1"/>
  <c r="CD31" i="2" s="1"/>
  <c r="CR17" i="2"/>
  <c r="CT17" i="2" s="1"/>
  <c r="CD32" i="2"/>
  <c r="CV27" i="2"/>
  <c r="CW17" i="2"/>
  <c r="CX17" i="2" s="1"/>
  <c r="DE17" i="2" s="1"/>
  <c r="DG17" i="2" s="1"/>
  <c r="DH17" i="2" s="1"/>
  <c r="BG14" i="2"/>
  <c r="BI14" i="2" s="1"/>
  <c r="CI14" i="2"/>
  <c r="CJ14" i="2" s="1"/>
  <c r="CL14" i="2" s="1"/>
  <c r="CN14" i="2" s="1"/>
  <c r="CB14" i="2" s="1"/>
  <c r="DK14" i="2" s="1"/>
  <c r="CQ14" i="2"/>
  <c r="DB14" i="2" s="1"/>
  <c r="DD14" i="2" s="1"/>
  <c r="BZ14" i="2"/>
  <c r="CW21" i="2"/>
  <c r="CX21" i="2" s="1"/>
  <c r="CV26" i="2"/>
  <c r="CI29" i="2"/>
  <c r="CJ29" i="2" s="1"/>
  <c r="CL29" i="2" s="1"/>
  <c r="CN29" i="2" s="1"/>
  <c r="CB29" i="2" s="1"/>
  <c r="DK29" i="2" s="1"/>
  <c r="CQ29" i="2"/>
  <c r="DB29" i="2" s="1"/>
  <c r="DD29" i="2" s="1"/>
  <c r="BZ29" i="2"/>
  <c r="BG29" i="2"/>
  <c r="BI29" i="2" s="1"/>
  <c r="CW19" i="2"/>
  <c r="CX19" i="2" s="1"/>
  <c r="DE19" i="2" s="1"/>
  <c r="DG19" i="2" s="1"/>
  <c r="DH19" i="2" s="1"/>
  <c r="CQ16" i="2"/>
  <c r="DB16" i="2" s="1"/>
  <c r="DD16" i="2" s="1"/>
  <c r="BZ16" i="2"/>
  <c r="CI16" i="2"/>
  <c r="CJ16" i="2" s="1"/>
  <c r="CL16" i="2" s="1"/>
  <c r="CN16" i="2" s="1"/>
  <c r="CB16" i="2" s="1"/>
  <c r="DK16" i="2" s="1"/>
  <c r="BG16" i="2"/>
  <c r="BI16" i="2" s="1"/>
  <c r="CQ26" i="2"/>
  <c r="DB26" i="2" s="1"/>
  <c r="DD26" i="2" s="1"/>
  <c r="CI26" i="2"/>
  <c r="CJ26" i="2" s="1"/>
  <c r="CL26" i="2" s="1"/>
  <c r="CN26" i="2" s="1"/>
  <c r="CB26" i="2" s="1"/>
  <c r="BZ26" i="2"/>
  <c r="BG26" i="2"/>
  <c r="BI26" i="2" s="1"/>
  <c r="BE29" i="2"/>
  <c r="BY29" i="2" s="1"/>
  <c r="BE26" i="2"/>
  <c r="BY26" i="2" s="1"/>
  <c r="CV13" i="2"/>
  <c r="BZ18" i="2"/>
  <c r="CQ18" i="2"/>
  <c r="DB18" i="2" s="1"/>
  <c r="DD18" i="2" s="1"/>
  <c r="CI18" i="2"/>
  <c r="CJ18" i="2" s="1"/>
  <c r="CL18" i="2" s="1"/>
  <c r="CN18" i="2" s="1"/>
  <c r="CB18" i="2" s="1"/>
  <c r="DK18" i="2" s="1"/>
  <c r="BG18" i="2"/>
  <c r="BI18" i="2" s="1"/>
  <c r="CV22" i="2"/>
  <c r="CI12" i="2"/>
  <c r="CJ12" i="2" s="1"/>
  <c r="CL12" i="2" s="1"/>
  <c r="CN12" i="2" s="1"/>
  <c r="CQ12" i="2"/>
  <c r="DB12" i="2" s="1"/>
  <c r="DD12" i="2" s="1"/>
  <c r="BG12" i="2"/>
  <c r="BI12" i="2" s="1"/>
  <c r="CW23" i="2"/>
  <c r="CX23" i="2" s="1"/>
  <c r="DE23" i="2" s="1"/>
  <c r="DG23" i="2" s="1"/>
  <c r="DH23" i="2" s="1"/>
  <c r="CV18" i="2"/>
  <c r="CW31" i="2"/>
  <c r="CX31" i="2" s="1"/>
  <c r="DE31" i="2" s="1"/>
  <c r="DG31" i="2" s="1"/>
  <c r="DH31" i="2" s="1"/>
  <c r="CR23" i="2"/>
  <c r="CT23" i="2" s="1"/>
  <c r="BG13" i="2"/>
  <c r="BI13" i="2" s="1"/>
  <c r="BP13" i="2" s="1"/>
  <c r="BQ13" i="2" s="1"/>
  <c r="CA13" i="2" s="1"/>
  <c r="CI13" i="2"/>
  <c r="CJ13" i="2" s="1"/>
  <c r="CL13" i="2" s="1"/>
  <c r="CN13" i="2" s="1"/>
  <c r="CB13" i="2" s="1"/>
  <c r="DK13" i="2" s="1"/>
  <c r="CQ13" i="2"/>
  <c r="DB13" i="2" s="1"/>
  <c r="DD13" i="2" s="1"/>
  <c r="BZ13" i="2"/>
  <c r="CV29" i="2"/>
  <c r="CR31" i="2"/>
  <c r="CT31" i="2" s="1"/>
  <c r="CV16" i="2"/>
  <c r="BE14" i="2"/>
  <c r="BY14" i="2" s="1"/>
  <c r="BE18" i="2"/>
  <c r="BY18" i="2" s="1"/>
  <c r="CW32" i="2"/>
  <c r="CX32" i="2" s="1"/>
  <c r="DE32" i="2" s="1"/>
  <c r="DG32" i="2" s="1"/>
  <c r="DH32" i="2" s="1"/>
  <c r="CV12" i="2"/>
  <c r="CV20" i="2"/>
  <c r="CR28" i="2"/>
  <c r="CT28" i="2" s="1"/>
  <c r="G21" i="11"/>
  <c r="CW15" i="2"/>
  <c r="CX15" i="2" s="1"/>
  <c r="CW30" i="2"/>
  <c r="CX30" i="2" s="1"/>
  <c r="DE30" i="2" s="1"/>
  <c r="DG30" i="2" s="1"/>
  <c r="DH30" i="2" s="1"/>
  <c r="CQ22" i="2"/>
  <c r="DB22" i="2" s="1"/>
  <c r="DD22" i="2" s="1"/>
  <c r="BG22" i="2"/>
  <c r="BI22" i="2" s="1"/>
  <c r="BP22" i="2" s="1"/>
  <c r="BQ22" i="2" s="1"/>
  <c r="CA22" i="2" s="1"/>
  <c r="CI22" i="2"/>
  <c r="CJ22" i="2" s="1"/>
  <c r="CL22" i="2" s="1"/>
  <c r="CN22" i="2" s="1"/>
  <c r="CB22" i="2" s="1"/>
  <c r="DK22" i="2" s="1"/>
  <c r="BZ22" i="2"/>
  <c r="BE16" i="2"/>
  <c r="BY16" i="2" s="1"/>
  <c r="BG20" i="2"/>
  <c r="BI20" i="2" s="1"/>
  <c r="CQ20" i="2"/>
  <c r="DB20" i="2" s="1"/>
  <c r="DD20" i="2" s="1"/>
  <c r="CI20" i="2"/>
  <c r="CJ20" i="2" s="1"/>
  <c r="CL20" i="2" s="1"/>
  <c r="CN20" i="2" s="1"/>
  <c r="CB20" i="2" s="1"/>
  <c r="DK20" i="2" s="1"/>
  <c r="BZ20" i="2"/>
  <c r="CQ24" i="2"/>
  <c r="DB24" i="2" s="1"/>
  <c r="DD24" i="2" s="1"/>
  <c r="BZ24" i="2"/>
  <c r="CI24" i="2"/>
  <c r="CJ24" i="2" s="1"/>
  <c r="CL24" i="2" s="1"/>
  <c r="CN24" i="2" s="1"/>
  <c r="CB24" i="2" s="1"/>
  <c r="DK24" i="2" s="1"/>
  <c r="BG24" i="2"/>
  <c r="BI24" i="2" s="1"/>
  <c r="BP24" i="2" s="1"/>
  <c r="BQ24" i="2" s="1"/>
  <c r="CA24" i="2" s="1"/>
  <c r="CR32" i="2"/>
  <c r="CT32" i="2" s="1"/>
  <c r="BE12" i="2"/>
  <c r="BY12" i="2" s="1"/>
  <c r="BX34" i="2"/>
  <c r="CI27" i="2"/>
  <c r="CJ27" i="2" s="1"/>
  <c r="CL27" i="2" s="1"/>
  <c r="CN27" i="2" s="1"/>
  <c r="CB27" i="2" s="1"/>
  <c r="DK27" i="2" s="1"/>
  <c r="BG27" i="2"/>
  <c r="BI27" i="2" s="1"/>
  <c r="BP27" i="2" s="1"/>
  <c r="BQ27" i="2" s="1"/>
  <c r="CA27" i="2" s="1"/>
  <c r="CQ27" i="2"/>
  <c r="DB27" i="2" s="1"/>
  <c r="DD27" i="2" s="1"/>
  <c r="BZ27" i="2"/>
  <c r="CV24" i="2"/>
  <c r="CW25" i="2"/>
  <c r="CX25" i="2" s="1"/>
  <c r="CV14" i="2"/>
  <c r="BP19" i="2"/>
  <c r="BQ19" i="2" s="1"/>
  <c r="CA19" i="2" s="1"/>
  <c r="CD19" i="2" s="1"/>
  <c r="BE20" i="2"/>
  <c r="BY20" i="2" s="1"/>
  <c r="CW28" i="2"/>
  <c r="CX28" i="2" s="1"/>
  <c r="DE28" i="2" s="1"/>
  <c r="DG28" i="2" s="1"/>
  <c r="DH28" i="2" s="1"/>
  <c r="CD30" i="2" l="1"/>
  <c r="V187" i="4" s="1"/>
  <c r="V193" i="4" s="1"/>
  <c r="CD17" i="2"/>
  <c r="I187" i="4" s="1"/>
  <c r="I193" i="4" s="1"/>
  <c r="BP15" i="2"/>
  <c r="BQ15" i="2" s="1"/>
  <c r="CA15" i="2" s="1"/>
  <c r="CD15" i="2" s="1"/>
  <c r="G187" i="4" s="1"/>
  <c r="G193" i="4" s="1"/>
  <c r="DE15" i="2"/>
  <c r="DG15" i="2" s="1"/>
  <c r="DH15" i="2" s="1"/>
  <c r="CR15" i="2"/>
  <c r="CT15" i="2" s="1"/>
  <c r="CR25" i="2"/>
  <c r="CT25" i="2" s="1"/>
  <c r="DE25" i="2"/>
  <c r="DG25" i="2" s="1"/>
  <c r="DH25" i="2" s="1"/>
  <c r="DK25" i="2"/>
  <c r="CD25" i="2"/>
  <c r="Q187" i="4" s="1"/>
  <c r="Q193" i="4" s="1"/>
  <c r="CD21" i="2"/>
  <c r="M187" i="4" s="1"/>
  <c r="M193" i="4" s="1"/>
  <c r="CD28" i="2"/>
  <c r="T187" i="4" s="1"/>
  <c r="T193" i="4" s="1"/>
  <c r="DE21" i="2"/>
  <c r="DG21" i="2" s="1"/>
  <c r="DH21" i="2" s="1"/>
  <c r="CR21" i="2"/>
  <c r="CT21" i="2" s="1"/>
  <c r="DJ19" i="2"/>
  <c r="DN19" i="2" s="1"/>
  <c r="BP29" i="2"/>
  <c r="BQ29" i="2" s="1"/>
  <c r="CA29" i="2" s="1"/>
  <c r="CD29" i="2" s="1"/>
  <c r="U187" i="4" s="1"/>
  <c r="U193" i="4" s="1"/>
  <c r="DJ32" i="2"/>
  <c r="DN32" i="2" s="1"/>
  <c r="CR24" i="2"/>
  <c r="CT24" i="2" s="1"/>
  <c r="DJ28" i="2"/>
  <c r="DN28" i="2" s="1"/>
  <c r="DJ30" i="2"/>
  <c r="DN30" i="2" s="1"/>
  <c r="DJ17" i="2"/>
  <c r="DN17" i="2" s="1"/>
  <c r="DJ23" i="2"/>
  <c r="DN23" i="2" s="1"/>
  <c r="BP12" i="2"/>
  <c r="BQ12" i="2" s="1"/>
  <c r="CA12" i="2" s="1"/>
  <c r="BP20" i="2"/>
  <c r="BQ20" i="2" s="1"/>
  <c r="CA20" i="2" s="1"/>
  <c r="CD20" i="2" s="1"/>
  <c r="CR20" i="2"/>
  <c r="CT20" i="2" s="1"/>
  <c r="CD22" i="2"/>
  <c r="N187" i="4" s="1"/>
  <c r="N193" i="4" s="1"/>
  <c r="BP26" i="2"/>
  <c r="BQ26" i="2" s="1"/>
  <c r="CA26" i="2" s="1"/>
  <c r="CD26" i="2" s="1"/>
  <c r="CR14" i="2"/>
  <c r="CT14" i="2" s="1"/>
  <c r="CR12" i="2"/>
  <c r="CT12" i="2" s="1"/>
  <c r="CD27" i="2"/>
  <c r="S187" i="4" s="1"/>
  <c r="S193" i="4" s="1"/>
  <c r="CR16" i="2"/>
  <c r="CT16" i="2" s="1"/>
  <c r="DJ31" i="2"/>
  <c r="DN31" i="2" s="1"/>
  <c r="CN34" i="2"/>
  <c r="CB12" i="2"/>
  <c r="CD13" i="2"/>
  <c r="DK26" i="2"/>
  <c r="CD24" i="2"/>
  <c r="CW14" i="2"/>
  <c r="CX14" i="2" s="1"/>
  <c r="DE14" i="2" s="1"/>
  <c r="DG14" i="2" s="1"/>
  <c r="DH14" i="2" s="1"/>
  <c r="W187" i="4"/>
  <c r="W193" i="4" s="1"/>
  <c r="G22" i="11"/>
  <c r="H22" i="11" s="1"/>
  <c r="J22" i="11" s="1"/>
  <c r="CW13" i="2"/>
  <c r="CX13" i="2" s="1"/>
  <c r="DE13" i="2" s="1"/>
  <c r="DG13" i="2" s="1"/>
  <c r="DH13" i="2" s="1"/>
  <c r="CW24" i="2"/>
  <c r="CX24" i="2" s="1"/>
  <c r="DE24" i="2" s="1"/>
  <c r="DG24" i="2" s="1"/>
  <c r="DH24" i="2" s="1"/>
  <c r="BZ34" i="2"/>
  <c r="CW26" i="2"/>
  <c r="CX26" i="2" s="1"/>
  <c r="DE26" i="2" s="1"/>
  <c r="DG26" i="2" s="1"/>
  <c r="DH26" i="2" s="1"/>
  <c r="X187" i="4"/>
  <c r="X193" i="4" s="1"/>
  <c r="BP14" i="2"/>
  <c r="BQ14" i="2" s="1"/>
  <c r="CA14" i="2" s="1"/>
  <c r="CD14" i="2" s="1"/>
  <c r="BP18" i="2"/>
  <c r="BQ18" i="2" s="1"/>
  <c r="CA18" i="2" s="1"/>
  <c r="CD18" i="2" s="1"/>
  <c r="CR27" i="2"/>
  <c r="CT27" i="2" s="1"/>
  <c r="CW12" i="2"/>
  <c r="CX12" i="2" s="1"/>
  <c r="DE12" i="2" s="1"/>
  <c r="DG12" i="2" s="1"/>
  <c r="DH12" i="2" s="1"/>
  <c r="CW16" i="2"/>
  <c r="CX16" i="2" s="1"/>
  <c r="DE16" i="2" s="1"/>
  <c r="DG16" i="2" s="1"/>
  <c r="DH16" i="2" s="1"/>
  <c r="H21" i="11"/>
  <c r="J21" i="11" s="1"/>
  <c r="CR13" i="2"/>
  <c r="CT13" i="2" s="1"/>
  <c r="CW29" i="2"/>
  <c r="CX29" i="2" s="1"/>
  <c r="DE29" i="2" s="1"/>
  <c r="DG29" i="2" s="1"/>
  <c r="DH29" i="2" s="1"/>
  <c r="BP16" i="2"/>
  <c r="BQ16" i="2" s="1"/>
  <c r="CA16" i="2" s="1"/>
  <c r="CD16" i="2" s="1"/>
  <c r="CR29" i="2"/>
  <c r="CT29" i="2" s="1"/>
  <c r="CW20" i="2"/>
  <c r="CX20" i="2" s="1"/>
  <c r="DE20" i="2" s="1"/>
  <c r="DG20" i="2" s="1"/>
  <c r="DH20" i="2" s="1"/>
  <c r="CW18" i="2"/>
  <c r="CX18" i="2" s="1"/>
  <c r="DE18" i="2" s="1"/>
  <c r="DG18" i="2" s="1"/>
  <c r="DH18" i="2" s="1"/>
  <c r="CW27" i="2"/>
  <c r="CX27" i="2" s="1"/>
  <c r="DE27" i="2" s="1"/>
  <c r="DG27" i="2" s="1"/>
  <c r="DH27" i="2" s="1"/>
  <c r="CR18" i="2"/>
  <c r="CT18" i="2" s="1"/>
  <c r="CR22" i="2"/>
  <c r="CT22" i="2" s="1"/>
  <c r="CR26" i="2"/>
  <c r="CT26" i="2" s="1"/>
  <c r="CW22" i="2"/>
  <c r="CX22" i="2" s="1"/>
  <c r="DE22" i="2" s="1"/>
  <c r="DG22" i="2" s="1"/>
  <c r="DH22" i="2" s="1"/>
  <c r="K187" i="4"/>
  <c r="K193" i="4" s="1"/>
  <c r="BY34" i="2"/>
  <c r="DJ15" i="2" l="1"/>
  <c r="DN15" i="2" s="1"/>
  <c r="DJ25" i="2"/>
  <c r="DN25" i="2" s="1"/>
  <c r="DJ21" i="2"/>
  <c r="DN21" i="2" s="1"/>
  <c r="DJ24" i="2"/>
  <c r="DN24" i="2" s="1"/>
  <c r="DJ27" i="2"/>
  <c r="DN27" i="2" s="1"/>
  <c r="DJ14" i="2"/>
  <c r="DN14" i="2" s="1"/>
  <c r="CD12" i="2"/>
  <c r="CE28" i="2" s="1"/>
  <c r="DJ22" i="2"/>
  <c r="DN22" i="2" s="1"/>
  <c r="DJ16" i="2"/>
  <c r="DN16" i="2" s="1"/>
  <c r="DJ20" i="2"/>
  <c r="DN20" i="2" s="1"/>
  <c r="DJ13" i="2"/>
  <c r="DN13" i="2" s="1"/>
  <c r="CT34" i="2"/>
  <c r="DJ18" i="2"/>
  <c r="DN18" i="2" s="1"/>
  <c r="DJ29" i="2"/>
  <c r="DN29" i="2" s="1"/>
  <c r="H187" i="4"/>
  <c r="H193" i="4" s="1"/>
  <c r="DH34" i="2"/>
  <c r="DJ12" i="2"/>
  <c r="J187" i="4"/>
  <c r="J193" i="4" s="1"/>
  <c r="DJ26" i="2"/>
  <c r="DN26" i="2" s="1"/>
  <c r="L187" i="4"/>
  <c r="L193" i="4" s="1"/>
  <c r="R187" i="4"/>
  <c r="R193" i="4" s="1"/>
  <c r="G23" i="11"/>
  <c r="F187" i="4"/>
  <c r="F193" i="4" s="1"/>
  <c r="CB34" i="2"/>
  <c r="DK12" i="2"/>
  <c r="DK34" i="2" s="1"/>
  <c r="P187" i="4"/>
  <c r="P193" i="4" s="1"/>
  <c r="E187" i="4"/>
  <c r="E193" i="4" s="1"/>
  <c r="CA34" i="2"/>
  <c r="CE19" i="2" l="1"/>
  <c r="CE26" i="2"/>
  <c r="CE16" i="2"/>
  <c r="CE24" i="2"/>
  <c r="CE23" i="2"/>
  <c r="CE30" i="2"/>
  <c r="CE21" i="2"/>
  <c r="CE25" i="2"/>
  <c r="CE15" i="2"/>
  <c r="CE32" i="2"/>
  <c r="CE14" i="2"/>
  <c r="CE12" i="2"/>
  <c r="D187" i="4"/>
  <c r="E188" i="4" s="1"/>
  <c r="CD34" i="2"/>
  <c r="CE13" i="2"/>
  <c r="CE27" i="2"/>
  <c r="CE29" i="2"/>
  <c r="CE20" i="2"/>
  <c r="CE18" i="2"/>
  <c r="CE17" i="2"/>
  <c r="CE31" i="2"/>
  <c r="CE22" i="2"/>
  <c r="DJ34" i="2"/>
  <c r="DN12" i="2"/>
  <c r="DN34" i="2" s="1"/>
  <c r="G24" i="11"/>
  <c r="H24" i="11" s="1"/>
  <c r="J24" i="11" s="1"/>
  <c r="H23" i="11"/>
  <c r="J23" i="11" s="1"/>
  <c r="R188" i="4" l="1"/>
  <c r="I188" i="4"/>
  <c r="M188" i="4"/>
  <c r="V188" i="4"/>
  <c r="N188" i="4"/>
  <c r="U188" i="4"/>
  <c r="X188" i="4"/>
  <c r="H188" i="4"/>
  <c r="L188" i="4"/>
  <c r="K188" i="4"/>
  <c r="J188" i="4"/>
  <c r="Q188" i="4"/>
  <c r="F188" i="4"/>
  <c r="P188" i="4"/>
  <c r="T188" i="4"/>
  <c r="O188" i="4"/>
  <c r="D188" i="4"/>
  <c r="S188" i="4"/>
  <c r="W188" i="4"/>
  <c r="G188" i="4"/>
  <c r="G25" i="11"/>
  <c r="H25" i="11" s="1"/>
  <c r="J25" i="11" s="1"/>
  <c r="R198" i="4" l="1"/>
  <c r="V207" i="4" s="1"/>
  <c r="G26" i="11"/>
  <c r="U206" i="4" l="1"/>
  <c r="G27" i="11"/>
  <c r="H27" i="11" s="1"/>
  <c r="J27" i="11" s="1"/>
  <c r="H26" i="11"/>
  <c r="J26" i="11" s="1"/>
  <c r="G28" i="11" l="1"/>
  <c r="H28" i="11" s="1"/>
  <c r="J28" i="11" s="1"/>
  <c r="G29" i="11" l="1"/>
  <c r="H29" i="11" s="1"/>
  <c r="J29" i="11" s="1"/>
  <c r="G30" i="11" l="1"/>
  <c r="H30" i="11" s="1"/>
  <c r="J30" i="11" s="1"/>
  <c r="G31" i="11" l="1"/>
  <c r="H31" i="11" s="1"/>
  <c r="J31" i="11" s="1"/>
  <c r="G32" i="11" l="1"/>
  <c r="H32" i="11" s="1"/>
  <c r="J32" i="11" s="1"/>
  <c r="G33" i="11" l="1"/>
  <c r="H33" i="11" s="1"/>
  <c r="J33" i="11" s="1"/>
  <c r="G34" i="11" l="1"/>
  <c r="G35" i="11" l="1"/>
  <c r="H34" i="11"/>
  <c r="J34" i="11" s="1"/>
  <c r="G36" i="11" l="1"/>
  <c r="H36" i="11" s="1"/>
  <c r="J36" i="11" s="1"/>
  <c r="H35" i="11"/>
  <c r="J35" i="11" s="1"/>
  <c r="J38" i="11" l="1"/>
  <c r="J40" i="11" s="1"/>
  <c r="V10" i="17" l="1"/>
  <c r="J6" i="8" l="1"/>
  <c r="J29" i="8" s="1"/>
  <c r="V12" i="17" s="1"/>
  <c r="R153" i="4" s="1"/>
  <c r="G153" i="4"/>
  <c r="K6" i="8" l="1"/>
  <c r="X6" i="8" s="1"/>
  <c r="Y22" i="8" l="1"/>
  <c r="Y23" i="8"/>
  <c r="Y20" i="8"/>
  <c r="Y16" i="8"/>
  <c r="Y6" i="8"/>
  <c r="Y24" i="8"/>
  <c r="Y7" i="8"/>
  <c r="Y11" i="8"/>
  <c r="Y26" i="8"/>
  <c r="Y25" i="8"/>
  <c r="Y9" i="8"/>
  <c r="Y13" i="8"/>
  <c r="Y12" i="8"/>
  <c r="Y17" i="8"/>
  <c r="Y10" i="8"/>
  <c r="Y21" i="8"/>
  <c r="Y14" i="8"/>
  <c r="Y18" i="8"/>
  <c r="Y15" i="8"/>
  <c r="Y19" i="8"/>
  <c r="K29" i="8"/>
  <c r="Y8" i="8"/>
  <c r="X29" i="8"/>
  <c r="D190" i="4"/>
  <c r="R191" i="4" l="1"/>
  <c r="D193" i="4"/>
  <c r="U191" i="4"/>
  <c r="J191" i="4"/>
  <c r="E191" i="4"/>
  <c r="Q191" i="4"/>
  <c r="X191" i="4"/>
  <c r="D191" i="4"/>
  <c r="K191" i="4"/>
  <c r="V191" i="4"/>
  <c r="S191" i="4"/>
  <c r="M191" i="4"/>
  <c r="O191" i="4"/>
  <c r="N191" i="4"/>
  <c r="L191" i="4"/>
  <c r="H191" i="4"/>
  <c r="T191" i="4"/>
  <c r="G191" i="4"/>
  <c r="W191" i="4"/>
  <c r="P191" i="4"/>
  <c r="F191" i="4"/>
  <c r="I191" i="4"/>
  <c r="U200" i="4" l="1"/>
  <c r="F194" i="4"/>
  <c r="P194" i="4"/>
  <c r="Q194" i="4"/>
  <c r="D194" i="4"/>
  <c r="W194" i="4"/>
  <c r="K194" i="4"/>
  <c r="G194" i="4"/>
  <c r="I194" i="4"/>
  <c r="O194" i="4"/>
  <c r="R194" i="4"/>
  <c r="T194" i="4"/>
  <c r="L194" i="4"/>
  <c r="N194" i="4"/>
  <c r="V194" i="4"/>
  <c r="X194" i="4"/>
  <c r="M194" i="4"/>
  <c r="S194" i="4"/>
  <c r="H194" i="4"/>
  <c r="J194" i="4"/>
  <c r="U194" i="4"/>
  <c r="E194" i="4"/>
  <c r="R202" i="4" l="1"/>
  <c r="V208"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Alen Dedeic</author>
  </authors>
  <commentList>
    <comment ref="T38" authorId="0" shapeId="0" xr:uid="{8139591D-0BDF-6842-BB30-5D1E6379D06F}">
      <text>
        <r>
          <rPr>
            <b/>
            <sz val="10"/>
            <color rgb="FF000000"/>
            <rFont val="Tahoma"/>
            <family val="2"/>
          </rPr>
          <t>Alen Dedeic:</t>
        </r>
        <r>
          <rPr>
            <sz val="10"/>
            <color rgb="FF000000"/>
            <rFont val="Tahoma"/>
            <family val="2"/>
          </rPr>
          <t xml:space="preserve">
</t>
        </r>
        <r>
          <rPr>
            <sz val="10"/>
            <color rgb="FF000000"/>
            <rFont val="Tahoma"/>
            <family val="2"/>
          </rPr>
          <t>Deze zouden bijvoorbeeld naar 50 kW kunnen, maar ik zou het niet automatisch doen omdat je bij de 50 kW naar een 3x80 aansluiting moet. We kunnen dit oplossen met een dropdown menu, dus de keuze geven tussen 30 en 50 kW bij de Storion (net zoals we bij de Alphas doen)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tc={97E60F80-A8AC-4BC7-ABA2-1BBF62AAD866}</author>
    <author>tc={B53BB982-DB02-4D01-8DF2-6B19574A9234}</author>
  </authors>
  <commentList>
    <comment ref="S8" authorId="0" shapeId="0" xr:uid="{97E60F80-A8AC-4BC7-ABA2-1BBF62AAD866}">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T8" authorId="1" shapeId="0" xr:uid="{B53BB982-DB02-4D01-8DF2-6B19574A923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tc={F0107351-91A7-B349-8456-9BD2C688E207}</author>
    <author>tc={82026494-D398-7949-8DF4-742475E78BBC}</author>
    <author>tc={43512634-72B5-104E-AC76-EC8776A5AC88}</author>
    <author>tc={49E6AF2B-431E-4367-A9C6-3739AF12E4AB}</author>
    <author>tc={B8CAB47D-9FD5-0E49-B1B7-8CA48B8D48F0}</author>
    <author>tc={93A4332C-5BA2-4C67-8F13-6587A6A8FA73}</author>
    <author>tc={7670D39B-ABBE-4CFF-88AC-2016972D01E8}</author>
    <author>tc={D756F8C9-F15D-4288-90A0-774A5674C1B7}</author>
    <author>tc={7B58F12A-5969-B840-8FBD-7A15A75D23FA}</author>
    <author>tc={71D9AE23-9654-4EB3-AA4D-390519A4D80A}</author>
    <author>tc={545373B3-E7CA-447E-B7FD-00675CD0D352}</author>
    <author>tc={14F68B0F-E24E-434D-A4C3-9EB13D673427}</author>
    <author>tc={C9D37E3E-3574-47C6-A083-643F295AEDFA}</author>
    <author>tc={55A735C7-E421-4110-A7D3-4FD7280D030A}</author>
    <author>tc={7FD1A04D-1001-49A2-B0DF-ACC36C17EAAF}</author>
    <author>tc={0D1185C7-4CE5-46DC-B3C1-9D5087CB9748}</author>
    <author>tc={CAC5E0D5-1845-4920-A756-F13F3C5E17A4}</author>
    <author>tc={004ABD2C-5C48-4B04-9605-97094BC4B374}</author>
    <author>tc={DEE7C650-A80F-4217-A115-36C8EED8C64A}</author>
    <author>tc={9DCB8168-7664-498F-B741-B529D444E424}</author>
    <author>tc={33B06F21-DBF6-40C6-9687-78D24B75161E}</author>
    <author>tc={6D3A62F1-A36F-4E91-A856-80B057E38251}</author>
    <author>tc={C5458545-DDE5-48C8-9E3E-005FDD7B04A7}</author>
    <author>tc={573FF74F-E626-4EBA-8C42-8767A8E971BC}</author>
    <author>tc={0414AA01-2231-44D2-9007-8728E589EA20}</author>
    <author>tc={E484CC2F-FA1A-4BB5-AC3C-43D57FD7E264}</author>
    <author>tc={555D8F45-EAD8-4F20-B8AA-4603AAD5A593}</author>
    <author>tc={2C029AC7-FE51-439A-834F-4377143EC90A}</author>
    <author>tc={55E436D9-ED6C-438A-B042-FBC45E182465}</author>
    <author>tc={03E4C916-4EC0-4168-9804-409D711F30B3}</author>
    <author>tc={0C04B830-17BE-43F0-8E15-274E378616C0}</author>
    <author>tc={3C1DD356-91C7-43F2-B97D-B74C2715411A}</author>
    <author>tc={94C5CDBA-805D-4AC4-BBB3-F45C4A526D96}</author>
    <author>tc={D6E09AA8-5E99-4D2D-8F35-D8B1129CE598}</author>
    <author>tc={D99E7EF0-5221-4500-826C-C260A2B037F4}</author>
    <author>tc={9CAF3B2D-01C7-448D-8B5E-0FC0233D2C53}</author>
    <author>tc={DD0A1925-87FA-4288-B24E-EC113AE9D844}</author>
    <author>tc={508B49D9-F613-49D0-BEE7-664D7AB76FF3}</author>
    <author>tc={362D18D3-AF75-48C7-8D7F-643070302254}</author>
    <author>tc={DC9A6733-B823-4F22-972E-72244FEEF181}</author>
    <author>tc={00322470-DBEC-49A2-B8DF-E89B71A8E1A0}</author>
    <author>tc={F80FB1A1-1B79-4CBD-AF28-87C9406E5292}</author>
    <author>tc={FFFF5A57-B418-4EBD-BF5A-FF6B8780C677}</author>
    <author>tc={2C17AAAE-F813-4CB7-A1C0-CAC9ADC4304B}</author>
    <author>tc={7B0BFCA7-AF75-4626-B2C6-14342CF89ACE}</author>
    <author>tc={90EB5BD8-DC69-4E11-93D8-5496FC2B7456}</author>
    <author>tc={8F9AFF50-CD98-4602-8CE4-ABED297C8DA8}</author>
    <author>tc={935BBEEC-B8D6-474B-8B16-258BBC924BB3}</author>
    <author>tc={45ED468E-CB13-4B90-AD5D-2A4F1D4E532B}</author>
    <author>tc={F6834B60-8E50-47D7-968C-DD0E7158346A}</author>
    <author>tc={5EC9EFC1-712B-4968-9515-E25248DDEFF0}</author>
    <author>tc={6ADA8E72-CC57-42B5-865F-01BAAEC94870}</author>
    <author>tc={C471179F-45A9-4B37-93AF-0A4ABCB4581A}</author>
    <author>tc={91FB0B0E-31EF-4EBA-B197-E0BB46BFB17B}</author>
    <author>tc={89AEDC31-5108-4697-B98C-6B7DCA1370E0}</author>
    <author>tc={D5FBBD62-44A1-4708-9EB0-A298F14D9E7D}</author>
    <author>tc={17F9D06F-9E90-4013-85C4-A14E1B1A5FF9}</author>
    <author>tc={B7196FC2-A71A-4387-93BE-39E3EF0A9C82}</author>
    <author>tc={03B75EE0-D5FC-44A5-86BB-D68699FFC946}</author>
    <author>tc={C70E7034-7A04-4CF5-8EC8-940D54C56A11}</author>
    <author>tc={2AF92926-CB1E-47EB-9215-E552D16558D5}</author>
    <author>tc={C714A6B5-D89D-405F-A66D-98958594C884}</author>
    <author>tc={C3CC3D30-04A9-4F60-B9E9-E1A033ABB6A9}</author>
    <author>tc={B0383965-5EAD-4570-87FB-78BE190260F0}</author>
    <author>tc={162D0B79-288B-46BA-80B0-72F03F6CD606}</author>
    <author>tc={BB6540DE-08EC-4DF4-82EB-89F0E6C3A10F}</author>
    <author>tc={3E4FD712-5F45-441B-BC61-20FD822D70E4}</author>
    <author>tc={600123BD-B2E1-4038-AA4C-059AE9E643B3}</author>
    <author>tc={76D6C084-4953-4EA7-BF07-73755E590FCE}</author>
    <author>tc={2E08BD57-D678-4E56-B661-7E035BA3F4B0}</author>
    <author>tc={6EDA11A6-9890-46BA-A88E-9A460A726531}</author>
    <author>tc={8F58EEF1-AA60-4D04-B80B-FEAD111443C3}</author>
    <author>tc={43361F77-21B3-478B-9075-0FCCA01B3511}</author>
    <author>tc={AEAA803A-DD4C-4860-8FC4-B9B7C1B78F54}</author>
    <author>tc={9DCFFC9C-4246-4699-8E96-3E5EF721F634}</author>
    <author>tc={58098523-D989-49B5-B270-E0F0E0466951}</author>
    <author>tc={4E6EF94A-B71C-4B44-A6EA-B1C0B85D991A}</author>
    <author>tc={D3B59FE1-3DDB-4D10-94EF-639241467B33}</author>
    <author>tc={E907AA75-5FAB-48B6-8003-AF171E7AB137}</author>
    <author>tc={60B49C93-8B2D-4D20-A5FF-75F2C1594153}</author>
    <author>tc={4597C277-4C30-4B92-98CB-88A5DE733E99}</author>
    <author>tc={737546B5-C344-4341-8304-7F257364EDDD}</author>
    <author>tc={64A1C39E-C145-46CA-87C8-10AD7600B7B1}</author>
    <author>tc={FD4012C2-003C-4600-9D98-6F6877E51493}</author>
    <author>tc={CCBE7085-45F9-40DA-BF94-D1F6E83F571B}</author>
  </authors>
  <commentList>
    <comment ref="G12" authorId="0" shapeId="0" xr:uid="{F0107351-91A7-B349-8456-9BD2C688E207}">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12" authorId="1" shapeId="0" xr:uid="{82026494-D398-7949-8DF4-742475E78BBC}">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€ 0,03. Hierop hanteren de meeste dynamische leveranciers een opslag van € 0,02. Door wijziging naar kwartieren doen wij de aanname dat het gemiddelde met € 0,02 daalt naar € 0,03.</t>
        </r>
      </text>
    </comment>
    <comment ref="AH12" authorId="2" shapeId="0" xr:uid="{43512634-72B5-104E-AC76-EC8776A5AC88}">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€ 0,13. Hierop hanteren de meeste dynamische leveranciers een opslag van € 0,02. Door wijziging naar kwartieren doen wij de aanname dat het gemiddelde met € 0,02 daalt naar € 0,13.
</t>
        </r>
        <r>
          <rPr>
            <sz val="12"/>
            <color rgb="FF000000"/>
            <rFont val="Aptos Narrow"/>
            <family val="2"/>
          </rPr>
          <t xml:space="preserve">Reply:
</t>
        </r>
        <r>
          <rPr>
            <sz val="12"/>
            <color rgb="FF000000"/>
            <rFont val="Aptos Narrow"/>
            <family val="2"/>
          </rPr>
          <t xml:space="preserve">    Dynamisch hoog heeft betrekking op teruglevering. Kwartieren heeft positieve impact, daarom van 13 naar 15 cent.</t>
        </r>
      </text>
    </comment>
    <comment ref="AL12" authorId="3" shapeId="0" xr:uid="{49E6AF2B-431E-4367-A9C6-3739AF12E4AB}">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13" authorId="4" shapeId="0" xr:uid="{B8CAB47D-9FD5-0E49-B1B7-8CA48B8D48F0}">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Aangepast omdat in de toekomst een andere instelling van de batterij gekozen kan worden.
</t>
        </r>
      </text>
    </comment>
    <comment ref="AD13" authorId="5" shapeId="0" xr:uid="{93A4332C-5BA2-4C67-8F13-6587A6A8FA7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13" authorId="6" shapeId="0" xr:uid="{7670D39B-ABBE-4CFF-88AC-2016972D01E8}">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13" authorId="7" shapeId="0" xr:uid="{D756F8C9-F15D-4288-90A0-774A5674C1B7}">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BM13" authorId="8" shapeId="0" xr:uid="{7B58F12A-5969-B840-8FBD-7A15A75D23FA}">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De verwachting is dat de vertraging van 5 minuten die Tennet hanteert volgend jaar wordt afgeschaft.</t>
        </r>
      </text>
    </comment>
    <comment ref="G14" authorId="9" shapeId="0" xr:uid="{71D9AE23-9654-4EB3-AA4D-390519A4D80A}">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Aangepast omdat in de toekomst een andere instelling van de batterij gekozen kan worden.
</t>
        </r>
      </text>
    </comment>
    <comment ref="AD14" authorId="10" shapeId="0" xr:uid="{545373B3-E7CA-447E-B7FD-00675CD0D352}">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€ 0,03. Hierop hanteren de meeste dynamische leveranciers een opslag van € 0,02. Door wijziging naar kwartieren doen wij de aanname dat het gemiddelde met € 0,02 daalt naar € 0,03.</t>
        </r>
      </text>
    </comment>
    <comment ref="AH14" authorId="11" shapeId="0" xr:uid="{14F68B0F-E24E-434D-A4C3-9EB13D673427}">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14" authorId="12" shapeId="0" xr:uid="{C9D37E3E-3574-47C6-A083-643F295AEDFA}">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15" authorId="13" shapeId="0" xr:uid="{55A735C7-E421-4110-A7D3-4FD7280D030A}">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15" authorId="14" shapeId="0" xr:uid="{7FD1A04D-1001-49A2-B0DF-ACC36C17EAAF}">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15" authorId="15" shapeId="0" xr:uid="{0D1185C7-4CE5-46DC-B3C1-9D5087CB9748}">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15" authorId="16" shapeId="0" xr:uid="{CAC5E0D5-1845-4920-A756-F13F3C5E17A4}">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€ 0,13. Hierop hanteren de meeste dynamische leveranciers een opslag van € 0,02. Door wijziging naar kwartieren doen wij de aanname dat het gemiddelde met € 0,02 daalt naar € 0,13.
</t>
        </r>
        <r>
          <rPr>
            <sz val="12"/>
            <color rgb="FF000000"/>
            <rFont val="Aptos Narrow"/>
            <family val="2"/>
          </rPr>
          <t xml:space="preserve">Reply:
</t>
        </r>
        <r>
          <rPr>
            <sz val="12"/>
            <color rgb="FF000000"/>
            <rFont val="Aptos Narrow"/>
            <family val="2"/>
          </rPr>
          <t xml:space="preserve">    Dynamisch hoog heeft betrekking op teruglevering. Kwartieren heeft positieve impact, daarom van 13 naar 15 cent.</t>
        </r>
      </text>
    </comment>
    <comment ref="G16" authorId="17" shapeId="0" xr:uid="{004ABD2C-5C48-4B04-9605-97094BC4B374}">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16" authorId="18" shapeId="0" xr:uid="{DEE7C650-A80F-4217-A115-36C8EED8C64A}">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16" authorId="19" shapeId="0" xr:uid="{9DCB8168-7664-498F-B741-B529D444E42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16" authorId="20" shapeId="0" xr:uid="{33B06F21-DBF6-40C6-9687-78D24B75161E}">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€ 0,13. Hierop hanteren de meeste dynamische leveranciers een opslag van € 0,02. Door wijziging naar kwartieren doen wij de aanname dat het gemiddelde met € 0,02 daalt naar € 0,13.
</t>
        </r>
        <r>
          <rPr>
            <sz val="12"/>
            <color rgb="FF000000"/>
            <rFont val="Aptos Narrow"/>
            <family val="2"/>
          </rPr>
          <t xml:space="preserve">Reply:
</t>
        </r>
        <r>
          <rPr>
            <sz val="12"/>
            <color rgb="FF000000"/>
            <rFont val="Aptos Narrow"/>
            <family val="2"/>
          </rPr>
          <t xml:space="preserve">    Dynamisch hoog heeft betrekking op teruglevering. Kwartieren heeft positieve impact, daarom van 13 naar 15 cent.</t>
        </r>
      </text>
    </comment>
    <comment ref="G17" authorId="21" shapeId="0" xr:uid="{6D3A62F1-A36F-4E91-A856-80B057E38251}">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17" authorId="22" shapeId="0" xr:uid="{C5458545-DDE5-48C8-9E3E-005FDD7B04A7}">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€ 0,03. Hierop hanteren de meeste dynamische leveranciers een opslag van € 0,02. Door wijziging naar kwartieren doen wij de aanname dat het gemiddelde met € 0,02 daalt naar € 0,03.</t>
        </r>
      </text>
    </comment>
    <comment ref="AH17" authorId="23" shapeId="0" xr:uid="{573FF74F-E626-4EBA-8C42-8767A8E971BC}">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€ 0,13. Hierop hanteren de meeste dynamische leveranciers een opslag van € 0,02. Door wijziging naar kwartieren doen wij de aanname dat het gemiddelde met € 0,02 daalt naar € 0,13.
</t>
        </r>
        <r>
          <rPr>
            <sz val="12"/>
            <color rgb="FF000000"/>
            <rFont val="Aptos Narrow"/>
            <family val="2"/>
          </rPr>
          <t xml:space="preserve">Reply:
</t>
        </r>
        <r>
          <rPr>
            <sz val="12"/>
            <color rgb="FF000000"/>
            <rFont val="Aptos Narrow"/>
            <family val="2"/>
          </rPr>
          <t xml:space="preserve">    Dynamisch hoog heeft betrekking op teruglevering. Kwartieren heeft positieve impact, daarom van 13 naar 15 cent.</t>
        </r>
      </text>
    </comment>
    <comment ref="AL17" authorId="24" shapeId="0" xr:uid="{0414AA01-2231-44D2-9007-8728E589EA2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18" authorId="25" shapeId="0" xr:uid="{E484CC2F-FA1A-4BB5-AC3C-43D57FD7E264}">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18" authorId="26" shapeId="0" xr:uid="{555D8F45-EAD8-4F20-B8AA-4603AAD5A59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18" authorId="27" shapeId="0" xr:uid="{2C029AC7-FE51-439A-834F-4377143EC90A}">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18" authorId="28" shapeId="0" xr:uid="{55E436D9-ED6C-438A-B042-FBC45E182465}">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19" authorId="29" shapeId="0" xr:uid="{03E4C916-4EC0-4168-9804-409D711F30B3}">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19" authorId="30" shapeId="0" xr:uid="{0C04B830-17BE-43F0-8E15-274E378616C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19" authorId="31" shapeId="0" xr:uid="{3C1DD356-91C7-43F2-B97D-B74C2715411A}">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19" authorId="32" shapeId="0" xr:uid="{94C5CDBA-805D-4AC4-BBB3-F45C4A526D96}">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0" authorId="33" shapeId="0" xr:uid="{D6E09AA8-5E99-4D2D-8F35-D8B1129CE598}">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0" authorId="34" shapeId="0" xr:uid="{D99E7EF0-5221-4500-826C-C260A2B037F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0" authorId="35" shapeId="0" xr:uid="{9CAF3B2D-01C7-448D-8B5E-0FC0233D2C5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0" authorId="36" shapeId="0" xr:uid="{DD0A1925-87FA-4288-B24E-EC113AE9D84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1" authorId="37" shapeId="0" xr:uid="{508B49D9-F613-49D0-BEE7-664D7AB76FF3}">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1" authorId="38" shapeId="0" xr:uid="{362D18D3-AF75-48C7-8D7F-64307030225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1" authorId="39" shapeId="0" xr:uid="{DC9A6733-B823-4F22-972E-72244FEEF181}">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1" authorId="40" shapeId="0" xr:uid="{00322470-DBEC-49A2-B8DF-E89B71A8E1A0}">
      <text>
        <r>
          <rPr>
            <sz val="12"/>
            <color rgb="FF000000"/>
            <rFont val="Aptos Narrow"/>
            <family val="2"/>
          </rPr>
          <t xml:space="preserve">[Threaded comment]
</t>
        </r>
        <r>
          <rPr>
            <sz val="12"/>
            <color rgb="FF000000"/>
            <rFont val="Aptos Narrow"/>
            <family val="2"/>
          </rPr>
          <t xml:space="preserve">
</t>
        </r>
        <r>
          <rPr>
            <sz val="12"/>
            <color rgb="FF000000"/>
            <rFont val="Aptos Narrow"/>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Aptos Narrow"/>
            <family val="2"/>
          </rPr>
          <t xml:space="preserve">
</t>
        </r>
        <r>
          <rPr>
            <sz val="12"/>
            <color rgb="FF000000"/>
            <rFont val="Aptos Narrow"/>
            <family val="2"/>
          </rPr>
          <t xml:space="preserve">Comment:
</t>
        </r>
        <r>
          <rPr>
            <sz val="12"/>
            <color rgb="FF000000"/>
            <rFont val="Aptos Narrow"/>
            <family val="2"/>
          </rPr>
          <t xml:space="preserve">    Kosten in 2024 waren gemiddeld  € 0,13. Hierop hanteren de meeste dynamische leveranciers een opslag van € 0,02. Door wijziging naar kwartieren doen wij de aanname dat het gemiddelde met € 0,02 daalt naar € 0,13.
</t>
        </r>
        <r>
          <rPr>
            <sz val="12"/>
            <color rgb="FF000000"/>
            <rFont val="Aptos Narrow"/>
            <family val="2"/>
          </rPr>
          <t xml:space="preserve">Reply:
</t>
        </r>
        <r>
          <rPr>
            <sz val="12"/>
            <color rgb="FF000000"/>
            <rFont val="Aptos Narrow"/>
            <family val="2"/>
          </rPr>
          <t xml:space="preserve">    Dynamisch hoog heeft betrekking op teruglevering. Kwartieren heeft positieve impact, daarom van 13 naar 15 cent.</t>
        </r>
      </text>
    </comment>
    <comment ref="G22" authorId="41" shapeId="0" xr:uid="{F80FB1A1-1B79-4CBD-AF28-87C9406E5292}">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2" authorId="42" shapeId="0" xr:uid="{FFFF5A57-B418-4EBD-BF5A-FF6B8780C677}">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2" authorId="43" shapeId="0" xr:uid="{2C17AAAE-F813-4CB7-A1C0-CAC9ADC4304B}">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2" authorId="44" shapeId="0" xr:uid="{7B0BFCA7-AF75-4626-B2C6-14342CF89ACE}">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3" authorId="45" shapeId="0" xr:uid="{90EB5BD8-DC69-4E11-93D8-5496FC2B7456}">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3" authorId="46" shapeId="0" xr:uid="{8F9AFF50-CD98-4602-8CE4-ABED297C8DA8}">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3" authorId="47" shapeId="0" xr:uid="{935BBEEC-B8D6-474B-8B16-258BBC924BB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3" authorId="48" shapeId="0" xr:uid="{45ED468E-CB13-4B90-AD5D-2A4F1D4E532B}">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4" authorId="49" shapeId="0" xr:uid="{F6834B60-8E50-47D7-968C-DD0E7158346A}">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4" authorId="50" shapeId="0" xr:uid="{5EC9EFC1-712B-4968-9515-E25248DDEFF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4" authorId="51" shapeId="0" xr:uid="{6ADA8E72-CC57-42B5-865F-01BAAEC9487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4" authorId="52" shapeId="0" xr:uid="{C471179F-45A9-4B37-93AF-0A4ABCB4581A}">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5" authorId="53" shapeId="0" xr:uid="{91FB0B0E-31EF-4EBA-B197-E0BB46BFB17B}">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5" authorId="54" shapeId="0" xr:uid="{89AEDC31-5108-4697-B98C-6B7DCA1370E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5" authorId="55" shapeId="0" xr:uid="{D5FBBD62-44A1-4708-9EB0-A298F14D9E7D}">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5" authorId="56" shapeId="0" xr:uid="{17F9D06F-9E90-4013-85C4-A14E1B1A5FF9}">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6" authorId="57" shapeId="0" xr:uid="{B7196FC2-A71A-4387-93BE-39E3EF0A9C82}">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6" authorId="58" shapeId="0" xr:uid="{03B75EE0-D5FC-44A5-86BB-D68699FFC946}">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6" authorId="59" shapeId="0" xr:uid="{C70E7034-7A04-4CF5-8EC8-940D54C56A11}">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6" authorId="60" shapeId="0" xr:uid="{2AF92926-CB1E-47EB-9215-E552D16558D5}">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7" authorId="61" shapeId="0" xr:uid="{C714A6B5-D89D-405F-A66D-98958594C884}">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7" authorId="62" shapeId="0" xr:uid="{C3CC3D30-04A9-4F60-B9E9-E1A033ABB6A9}">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7" authorId="63" shapeId="0" xr:uid="{B0383965-5EAD-4570-87FB-78BE190260F0}">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7" authorId="64" shapeId="0" xr:uid="{162D0B79-288B-46BA-80B0-72F03F6CD606}">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8" authorId="65" shapeId="0" xr:uid="{BB6540DE-08EC-4DF4-82EB-89F0E6C3A10F}">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8" authorId="66" shapeId="0" xr:uid="{3E4FD712-5F45-441B-BC61-20FD822D70E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8" authorId="67" shapeId="0" xr:uid="{600123BD-B2E1-4038-AA4C-059AE9E643B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8" authorId="68" shapeId="0" xr:uid="{76D6C084-4953-4EA7-BF07-73755E590FCE}">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29" authorId="69" shapeId="0" xr:uid="{2E08BD57-D678-4E56-B661-7E035BA3F4B0}">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29" authorId="70" shapeId="0" xr:uid="{6EDA11A6-9890-46BA-A88E-9A460A726531}">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29" authorId="71" shapeId="0" xr:uid="{8F58EEF1-AA60-4D04-B80B-FEAD111443C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29" authorId="72" shapeId="0" xr:uid="{43361F77-21B3-478B-9075-0FCCA01B3511}">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30" authorId="73" shapeId="0" xr:uid="{AEAA803A-DD4C-4860-8FC4-B9B7C1B78F54}">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30" authorId="74" shapeId="0" xr:uid="{9DCFFC9C-4246-4699-8E96-3E5EF721F634}">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30" authorId="75" shapeId="0" xr:uid="{58098523-D989-49B5-B270-E0F0E0466951}">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30" authorId="76" shapeId="0" xr:uid="{4E6EF94A-B71C-4B44-A6EA-B1C0B85D991A}">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31" authorId="77" shapeId="0" xr:uid="{D3B59FE1-3DDB-4D10-94EF-639241467B33}">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31" authorId="78" shapeId="0" xr:uid="{E907AA75-5FAB-48B6-8003-AF171E7AB137}">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31" authorId="79" shapeId="0" xr:uid="{60B49C93-8B2D-4D20-A5FF-75F2C159415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31" authorId="80" shapeId="0" xr:uid="{4597C277-4C30-4B92-98CB-88A5DE733E99}">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G32" authorId="81" shapeId="0" xr:uid="{737546B5-C344-4341-8304-7F257364EDDD}">
      <text>
        <r>
          <rPr>
            <sz val="12"/>
            <color theme="1"/>
            <rFont val="Aptos Narrow"/>
            <family val="2"/>
            <scheme val="minor"/>
          </rPr>
          <t xml:space="preserve">[Threaded comment]
Your version of Excel allows you to read this threaded comment; however, any edits to it will get removed if the file is opened in a newer version of Excel. Learn more: https://go.microsoft.com/fwlink/?linkid=870924
Comment:
    Aangepast omdat in de toekomst een andere instelling van de batterij gekozen kan worden.
</t>
        </r>
      </text>
    </comment>
    <comment ref="AD32" authorId="82" shapeId="0" xr:uid="{64A1C39E-C145-46CA-87C8-10AD7600B7B1}">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€ 0,03. Hierop hanteren de meeste dynamische leveranciers een opslag van € 0,02. Door wijziging naar kwartieren doen wij de aanname dat het gemiddelde met € 0,02 daalt naar € 0,03.</t>
        </r>
      </text>
    </comment>
    <comment ref="AH32" authorId="83" shapeId="0" xr:uid="{FD4012C2-003C-4600-9D98-6F6877E51493}">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 ref="AL32" authorId="84" shapeId="0" xr:uid="{CCBE7085-45F9-40DA-BF94-D1F6E83F571B}">
      <text>
        <r>
          <rPr>
            <sz val="12"/>
            <color theme="1"/>
            <rFont val="Aptos Narrow"/>
            <family val="2"/>
            <scheme val="minor"/>
          </rPr>
          <t>[Threaded comment]
Your version of Excel allows you to read this threaded comment; however, any edits to it will get removed if the file is opened in a newer version of Excel. Learn more: https://go.microsoft.com/fwlink/?linkid=870924
Comment:
    Kosten in 2024 waren gemiddeld  € 0,13. Hierop hanteren de meeste dynamische leveranciers een opslag van € 0,02. Door wijziging naar kwartieren doen wij de aanname dat het gemiddelde met € 0,02 daalt naar € 0,13.
Reply:
    Dynamisch hoog heeft betrekking op teruglevering. Kwartieren heeft positieve impact, daarom van 13 naar 15 cent.</t>
        </r>
      </text>
    </comment>
  </commentList>
</comments>
</file>

<file path=xl/sharedStrings.xml><?xml version="1.0" encoding="utf-8"?>
<sst xmlns="http://schemas.openxmlformats.org/spreadsheetml/2006/main" count="1786" uniqueCount="648">
  <si>
    <t>Capaciteit</t>
  </si>
  <si>
    <t>Jaar</t>
  </si>
  <si>
    <t>Datum</t>
  </si>
  <si>
    <t>Einde jaar</t>
  </si>
  <si>
    <t>Degradatie Cumulatief</t>
  </si>
  <si>
    <t>Cycli cumulatief</t>
  </si>
  <si>
    <t>Stroom</t>
  </si>
  <si>
    <t>kWh</t>
  </si>
  <si>
    <t>Gas</t>
  </si>
  <si>
    <t>m3</t>
  </si>
  <si>
    <t>Garantie</t>
  </si>
  <si>
    <t>Cycli per jaar</t>
  </si>
  <si>
    <t>Degradatie per jaar</t>
  </si>
  <si>
    <t>Opslag per jaar</t>
  </si>
  <si>
    <t>Opslag Cumulatief</t>
  </si>
  <si>
    <t>Cycli</t>
  </si>
  <si>
    <t>Degradatie</t>
  </si>
  <si>
    <t>Van het gas af</t>
  </si>
  <si>
    <t>Afname gasverbruik</t>
  </si>
  <si>
    <t>Toename stroomverbruik</t>
  </si>
  <si>
    <t>Rendement</t>
  </si>
  <si>
    <t>Jaar %</t>
  </si>
  <si>
    <t>Dagen in jaar</t>
  </si>
  <si>
    <t>Omrekenfactor (kWh per m3)</t>
  </si>
  <si>
    <t>Onderhoud</t>
  </si>
  <si>
    <t>per jaar</t>
  </si>
  <si>
    <t>Aankoop</t>
  </si>
  <si>
    <t>Kosten Cumulatief</t>
  </si>
  <si>
    <t>Netto</t>
  </si>
  <si>
    <t>Teruggave</t>
  </si>
  <si>
    <t>Netto kosten</t>
  </si>
  <si>
    <t>Leensom</t>
  </si>
  <si>
    <t>Bruto kosten</t>
  </si>
  <si>
    <t>Looptijd</t>
  </si>
  <si>
    <t>Rente</t>
  </si>
  <si>
    <t>jaar</t>
  </si>
  <si>
    <t>Bruto</t>
  </si>
  <si>
    <t>Opwek</t>
  </si>
  <si>
    <t>Direct verbruik</t>
  </si>
  <si>
    <t>Omvormer</t>
  </si>
  <si>
    <t>Huidig verbruik</t>
  </si>
  <si>
    <t>Extra verbruik</t>
  </si>
  <si>
    <t>Totaal verbruik</t>
  </si>
  <si>
    <t>Direct verbruik %</t>
  </si>
  <si>
    <t>Teruglevering</t>
  </si>
  <si>
    <t>Energiebelasting</t>
  </si>
  <si>
    <t>Inflatie</t>
  </si>
  <si>
    <t>Handelen</t>
  </si>
  <si>
    <t>Capaciteit %</t>
  </si>
  <si>
    <t>Zwaardere aansluiting</t>
  </si>
  <si>
    <t>inclusief BTW</t>
  </si>
  <si>
    <t>BTW teruggave</t>
  </si>
  <si>
    <t>Ja</t>
  </si>
  <si>
    <t>Overige kosten</t>
  </si>
  <si>
    <t>Aankoop netto</t>
  </si>
  <si>
    <t>Verbruik</t>
  </si>
  <si>
    <t>Inkoop</t>
  </si>
  <si>
    <t>per kWh</t>
  </si>
  <si>
    <t>Terugleverkosten</t>
  </si>
  <si>
    <t>Leveringstarief</t>
  </si>
  <si>
    <t>per maand</t>
  </si>
  <si>
    <t>Kosten</t>
  </si>
  <si>
    <t>Klasse</t>
  </si>
  <si>
    <t>kWh per km</t>
  </si>
  <si>
    <t>Jaar overstap</t>
  </si>
  <si>
    <t>Toekomstig stroomverbruik</t>
  </si>
  <si>
    <t>Financiering</t>
  </si>
  <si>
    <t>Nee</t>
  </si>
  <si>
    <t>B - Compacte auto</t>
  </si>
  <si>
    <t>A - Mini auto</t>
  </si>
  <si>
    <t>D - Grote auto</t>
  </si>
  <si>
    <t>E - Prestigewagen</t>
  </si>
  <si>
    <t>F - Luxewagens</t>
  </si>
  <si>
    <t>J - Off-road sportwagens</t>
  </si>
  <si>
    <t>BTW bedrag</t>
  </si>
  <si>
    <t>Financieringsbedrag</t>
  </si>
  <si>
    <t>Rente aftrek</t>
  </si>
  <si>
    <t>Opbrengsten</t>
  </si>
  <si>
    <t>Cumulatief</t>
  </si>
  <si>
    <t>Aansluiting</t>
  </si>
  <si>
    <t>Cycli per dag</t>
  </si>
  <si>
    <t>Kosten financiering</t>
  </si>
  <si>
    <t>Eigen verbruik</t>
  </si>
  <si>
    <t>C -  Middenklasse</t>
  </si>
  <si>
    <t>De totale hoeveelheid stroom die de klant gebruikt.</t>
  </si>
  <si>
    <t>Het tarief dat de klant betaalt bij de huidige leverancier.</t>
  </si>
  <si>
    <t>Inflatie (jaar)</t>
  </si>
  <si>
    <t>Inflatie (maand)</t>
  </si>
  <si>
    <t>Kosten periode</t>
  </si>
  <si>
    <t>Periode</t>
  </si>
  <si>
    <t>Vul de eenmalige en doorlopende kosten in die de klant heeft voor de thuisbatterij.</t>
  </si>
  <si>
    <t>Vul alle informatie in met betrekking tot de financiering.</t>
  </si>
  <si>
    <t>Onderstaande grafiek en matrix geven het rendement weer van de gekozen thuisbatterij in de situatie van de klant. Het rendement is de winst die de klant maakt vergeleken met de huidige situatie, waarbij alle kosten voor aankoop, financiering, onderhoud en eventueel de verzwaring van de aansluiting zijn meegenomen.</t>
  </si>
  <si>
    <t>Geef aan of de klant BTW terugontvangt.</t>
  </si>
  <si>
    <t>Extra kosten voor zwaardere aansluiting.</t>
  </si>
  <si>
    <t>Minimaal elke 2 jaar om volledige garantie te behouden.</t>
  </si>
  <si>
    <t>Huidig gasverbruik invullen vanaf de jaarnota.</t>
  </si>
  <si>
    <t>Bedrag dat de klant wil financieren.</t>
  </si>
  <si>
    <t>Maximale looptijd 20 jaar.</t>
  </si>
  <si>
    <t>Hoeveel procent renteaftrek heeft de klant.</t>
  </si>
  <si>
    <t>Afhankelijk van situatie klant en beschikbaarheid van aanbieders.</t>
  </si>
  <si>
    <t>Deze blijven gelijk gedurende volledige looptijd.</t>
  </si>
  <si>
    <t>De rente aftrek neemt af gedurende de looptijd.</t>
  </si>
  <si>
    <t>Huidige kosten</t>
  </si>
  <si>
    <t>Overstapboete</t>
  </si>
  <si>
    <t>eenmalig</t>
  </si>
  <si>
    <t>Klantgegevens</t>
  </si>
  <si>
    <t>Vul de gegevens van de klant in.</t>
  </si>
  <si>
    <t>Voor- en achternaam</t>
  </si>
  <si>
    <t>Straat en huisnummer</t>
  </si>
  <si>
    <t>Postcode en plaats</t>
  </si>
  <si>
    <t>E-mailadres</t>
  </si>
  <si>
    <t>Telefoonnummer</t>
  </si>
  <si>
    <t>De cijfers en grafieken in deze calculator zijn een schatting die is gebaseerd op simulaties en aannames met betrekking tot onder andere de manier waarop de thuisbatterij wordt ingezet en de toekomstige ontwikkeling van energietarieven en energiemarkten. Deze calculator is met zorg gebouwd en wordt regelmatig geoptimaliseerd, maar kan fouten en/of verkeerde inschattingen bevatten. Je kan hier geen rechten aan ontlenen. Als je vragen hebt over de berekeningen achter deze calculator of de gepresenteerde uitkomsten, neem dan contact met ons op.</t>
  </si>
  <si>
    <t>Eventuele boete voor overstap naar een dynamisch contract.</t>
  </si>
  <si>
    <t>Na afschaffen saldering</t>
  </si>
  <si>
    <t>Rendementscalculator</t>
  </si>
  <si>
    <t>Merk</t>
  </si>
  <si>
    <t>3 Fase</t>
  </si>
  <si>
    <t>AlphaESS</t>
  </si>
  <si>
    <t>1 Fase</t>
  </si>
  <si>
    <t>Cycles</t>
  </si>
  <si>
    <t>Product</t>
  </si>
  <si>
    <t>Batterij</t>
  </si>
  <si>
    <t>Selecteer de batterij uit de lijst.</t>
  </si>
  <si>
    <t>Geef aan op welke manier de klant de thuisbatterij gaat inzetten.</t>
  </si>
  <si>
    <t>Specificaties</t>
  </si>
  <si>
    <t>Vermogen van de standaard bijgeleverde omvormer.</t>
  </si>
  <si>
    <t>Gebruik</t>
  </si>
  <si>
    <t>Meerwerk</t>
  </si>
  <si>
    <t>Aankoop batterij, inclusief installatie en services.</t>
  </si>
  <si>
    <t>20 kW Omvormer</t>
  </si>
  <si>
    <t>Jaarlijkse kosten</t>
  </si>
  <si>
    <t>Eenmalige kosten</t>
  </si>
  <si>
    <t>Let op!</t>
  </si>
  <si>
    <t>Deze aansluiting heeft de klant nodig.</t>
  </si>
  <si>
    <t>De capaciteit van de gekozen thuisbatterij.</t>
  </si>
  <si>
    <t>Investering</t>
  </si>
  <si>
    <t>De eenmalige investering voor de klant, inclusief teruggave BTW.</t>
  </si>
  <si>
    <t>Financieel nadeel afschaffen saldering</t>
  </si>
  <si>
    <t>Financieel nadeel</t>
  </si>
  <si>
    <t>Bijkomende kosten</t>
  </si>
  <si>
    <t>x</t>
  </si>
  <si>
    <t>Aantal zonnepanelen</t>
  </si>
  <si>
    <t>Opwekvermogen per zonnepaneel</t>
  </si>
  <si>
    <t>Opwek per jaar</t>
  </si>
  <si>
    <t>Rendementspercentage</t>
  </si>
  <si>
    <t>Wp</t>
  </si>
  <si>
    <t>Totaal verbruik per jaar</t>
  </si>
  <si>
    <t>Zomerfunctie (opslag)</t>
  </si>
  <si>
    <t>Dit betaalt de klant nu voor stroom.</t>
  </si>
  <si>
    <t>Jan Modaal</t>
  </si>
  <si>
    <t>Hoogstraat 20</t>
  </si>
  <si>
    <t>Utrecht</t>
  </si>
  <si>
    <t>jan@modaal.nl</t>
  </si>
  <si>
    <t>Gemiddeld per maand</t>
  </si>
  <si>
    <t>Terugleververgoeding</t>
  </si>
  <si>
    <t>Capaciteit beschikbaar</t>
  </si>
  <si>
    <t>Stroomverbruik</t>
  </si>
  <si>
    <t>Huidige situatie</t>
  </si>
  <si>
    <t>Nieuwe situatie</t>
  </si>
  <si>
    <t>Handel</t>
  </si>
  <si>
    <t>Volume per handelsmoment</t>
  </si>
  <si>
    <t>Volume potentieel</t>
  </si>
  <si>
    <t>Uitbetaalpercentage</t>
  </si>
  <si>
    <t>Winst</t>
  </si>
  <si>
    <t>Inkoopkosten</t>
  </si>
  <si>
    <t>Vast</t>
  </si>
  <si>
    <t>Variabel</t>
  </si>
  <si>
    <t>Dynamisch</t>
  </si>
  <si>
    <t>Contract</t>
  </si>
  <si>
    <t>Dynamisch contract laag</t>
  </si>
  <si>
    <t>Dynamisch contract hoog</t>
  </si>
  <si>
    <t>Capaciteit gewenst</t>
  </si>
  <si>
    <t>Opgeslagen</t>
  </si>
  <si>
    <t>Huidig contract</t>
  </si>
  <si>
    <t>Leveringskosten (inclusief belasting)</t>
  </si>
  <si>
    <t>Leveringskosten (exclusief belasting)</t>
  </si>
  <si>
    <t>Uitbetaling aan klant</t>
  </si>
  <si>
    <t>Volume verhandeld</t>
  </si>
  <si>
    <t>Restcapaciteit</t>
  </si>
  <si>
    <t>Het gegarandeerde aantal cycli van de batterij.</t>
  </si>
  <si>
    <t>De resterende capaciteit na het gegarandeerde aantal cycli.</t>
  </si>
  <si>
    <t>Het aantal jaren fabrieksgarantie.</t>
  </si>
  <si>
    <t>Het aantal keer dat de klant de investering naar verwachting terugverdient</t>
  </si>
  <si>
    <t>Oorspronkelijke kosten</t>
  </si>
  <si>
    <t>Effectieve minuten per kwartier</t>
  </si>
  <si>
    <t>Roundtrip Efficiency</t>
  </si>
  <si>
    <t>Efficiëntie</t>
  </si>
  <si>
    <t>Het percentage van geladen stroom dat ontladen wordt.</t>
  </si>
  <si>
    <t>RTE</t>
  </si>
  <si>
    <t>Gemiddelde opwek per dag</t>
  </si>
  <si>
    <t>Gemiddeld verbruik per dag</t>
  </si>
  <si>
    <t>Winterfunctie (inkoop)</t>
  </si>
  <si>
    <t>Opwek factor (percentage van gemiddelde)</t>
  </si>
  <si>
    <t>Verbruik factor (percentage van gemiddelde)</t>
  </si>
  <si>
    <t>Opslag per dag</t>
  </si>
  <si>
    <t>Direct verbruik (van zonnepanelen)</t>
  </si>
  <si>
    <t>Direct verbruik (van stroomnet)</t>
  </si>
  <si>
    <t>Totale opwek per jaar</t>
  </si>
  <si>
    <t>Opbrengsten Cumulatief</t>
  </si>
  <si>
    <t>Opbrengsten per jaar</t>
  </si>
  <si>
    <t>Efficiëntie batterij (verlies)</t>
  </si>
  <si>
    <t>Meerwerkkosten (bijvoorbeeld meterkast of graafwerk).</t>
  </si>
  <si>
    <t>Vastrecht</t>
  </si>
  <si>
    <t>per m3</t>
  </si>
  <si>
    <t>Stroomtarieven</t>
  </si>
  <si>
    <t>Vastrecht huidige situatie</t>
  </si>
  <si>
    <t>Vastrecht nieuwe situatie</t>
  </si>
  <si>
    <t>Vaste leveringskosten</t>
  </si>
  <si>
    <t>De vaste leveringskosten die de klant betaalt voor gas.</t>
  </si>
  <si>
    <t>De stroom die de klant van het net verbruikt (jaarnota).</t>
  </si>
  <si>
    <t>De stroom die de klant teruglevert aan het net (jaarnota).</t>
  </si>
  <si>
    <t>Vul de gegevens van het energiecontract in van de klant.</t>
  </si>
  <si>
    <t>Het soort contract dat de klant nu heeft.</t>
  </si>
  <si>
    <t>Financieel</t>
  </si>
  <si>
    <t>Leverancier</t>
  </si>
  <si>
    <t>Overeenkomst</t>
  </si>
  <si>
    <t>De huidige leverancier van de klant.</t>
  </si>
  <si>
    <t>3552XM</t>
  </si>
  <si>
    <t>Levering</t>
  </si>
  <si>
    <t>Saldo</t>
  </si>
  <si>
    <t>De stroom die de klant netto inkoopt (+) of teruglevert (-).</t>
  </si>
  <si>
    <t>afh van jaren vlgs calc</t>
  </si>
  <si>
    <t>invoer</t>
  </si>
  <si>
    <t>cycli per dag in calc x 365</t>
  </si>
  <si>
    <t>in calc</t>
  </si>
  <si>
    <t>F/J
x
(1 - K)</t>
  </si>
  <si>
    <t>1 - M</t>
  </si>
  <si>
    <t>cap in calc
x O</t>
  </si>
  <si>
    <t>cycli x cap
F x P</t>
  </si>
  <si>
    <t>invoer
+ infl</t>
  </si>
  <si>
    <t>12 x
(vastr str
+
vastr gas)
in calc</t>
  </si>
  <si>
    <t>als vastr gas
&gt;0;
12 x 2 x 5,99;
12 x 5,99</t>
  </si>
  <si>
    <t>lev.kst
in calc;
na 1e jr
lev.kst
+ bel</t>
  </si>
  <si>
    <t>lev.kst
incl bel
- bel.
na 1e jr
+infl</t>
  </si>
  <si>
    <t>X</t>
  </si>
  <si>
    <t>AC + AD</t>
  </si>
  <si>
    <t>AG + AH</t>
  </si>
  <si>
    <t>extra
gas
auto
AR + AW</t>
  </si>
  <si>
    <t>AK + AL</t>
  </si>
  <si>
    <t>in calc
afh van
jaar
overstap</t>
  </si>
  <si>
    <t>in calc
afh van
AO</t>
  </si>
  <si>
    <t>AP x AQ</t>
  </si>
  <si>
    <t>totaal
verbruik
- 
direct
verbruik
AM - BB</t>
  </si>
  <si>
    <t>in calc
ber niet
nodig</t>
  </si>
  <si>
    <t>totaal
verbruik
AY + BB</t>
  </si>
  <si>
    <t>totaal
verbruik
-
direct 
verbruik
BD - BB</t>
  </si>
  <si>
    <t>opwek
-
direct
verbruik
AZ - BB</t>
  </si>
  <si>
    <t>Q</t>
  </si>
  <si>
    <t>minimum
BG en BH</t>
  </si>
  <si>
    <t>afh van
handelen
365 x 24 x 4
x volume (BN)</t>
  </si>
  <si>
    <t>verm in calc
/4 &lt; cap(P);
verm in cal
x (eff min/60);
cap (P)</t>
  </si>
  <si>
    <t>capaciteit beschikbaar
- opgeslagen
BH - BI</t>
  </si>
  <si>
    <t>minimum
BO - BP</t>
  </si>
  <si>
    <t>lev.kst
incl bel
laag
AE</t>
  </si>
  <si>
    <t>lev.kst
incl bel
hoog
AI
+ 0,20</t>
  </si>
  <si>
    <t>vergoeding
- lev.kst
vanaf 3e jr
- belasting</t>
  </si>
  <si>
    <t>winst 
x uitbet%</t>
  </si>
  <si>
    <t>eff verlies
x opslag jaar
x ink handel</t>
  </si>
  <si>
    <t>inkoop
x verschil
lev.kst nu 
en lev.kst laag
BE x (Y - AE)</t>
  </si>
  <si>
    <t>teruglevering
x terugl.verg
BC x BJ</t>
  </si>
  <si>
    <t>volume handel
x uitbet handel
BQ x BV</t>
  </si>
  <si>
    <t>vastrecht nu
- vastrecht
oud</t>
  </si>
  <si>
    <t>totaal
BX t/m CB</t>
  </si>
  <si>
    <t>lev.kst
hoog
- 0,02
vanaf jr3
- bel
AI -</t>
  </si>
  <si>
    <t>Stamgegevens</t>
  </si>
  <si>
    <t>inkoop</t>
  </si>
  <si>
    <t>energie</t>
  </si>
  <si>
    <t>inflatie</t>
  </si>
  <si>
    <t>belasting</t>
  </si>
  <si>
    <t>vanaf</t>
  </si>
  <si>
    <t>correctie</t>
  </si>
  <si>
    <t>incl BTW</t>
  </si>
  <si>
    <t>KwH</t>
  </si>
  <si>
    <t>saldering</t>
  </si>
  <si>
    <t>kosten</t>
  </si>
  <si>
    <t>startdatum</t>
  </si>
  <si>
    <t>vanaf jaar</t>
  </si>
  <si>
    <t>jaarlijkse</t>
  </si>
  <si>
    <t>aanpassing</t>
  </si>
  <si>
    <t>nieuw</t>
  </si>
  <si>
    <t>stroom</t>
  </si>
  <si>
    <t>vastrecht</t>
  </si>
  <si>
    <t>gas</t>
  </si>
  <si>
    <t>leverings</t>
  </si>
  <si>
    <t>laag</t>
  </si>
  <si>
    <t>hoog</t>
  </si>
  <si>
    <t>omreken</t>
  </si>
  <si>
    <t>factor</t>
  </si>
  <si>
    <t>terug</t>
  </si>
  <si>
    <t>levering</t>
  </si>
  <si>
    <t>percentage</t>
  </si>
  <si>
    <t>effectieve</t>
  </si>
  <si>
    <t>minuten</t>
  </si>
  <si>
    <t>per kwartier</t>
  </si>
  <si>
    <t>handel</t>
  </si>
  <si>
    <t>tarief</t>
  </si>
  <si>
    <t>uit</t>
  </si>
  <si>
    <t>betalings</t>
  </si>
  <si>
    <t>%</t>
  </si>
  <si>
    <t>BTW-%</t>
  </si>
  <si>
    <t>batterijen</t>
  </si>
  <si>
    <t>maximale</t>
  </si>
  <si>
    <t>BTW</t>
  </si>
  <si>
    <t>teruggave</t>
  </si>
  <si>
    <t>af te dragen</t>
  </si>
  <si>
    <t>BTW-percentage batterijen</t>
  </si>
  <si>
    <t>maximale BTW-teruggave</t>
  </si>
  <si>
    <t>af te dragen BTW per kWh</t>
  </si>
  <si>
    <t>grens lagere energiebelasting</t>
  </si>
  <si>
    <t>verschil (groter dan 0)</t>
  </si>
  <si>
    <t>verschil energiebelasting</t>
  </si>
  <si>
    <t>correctie energiebelasting</t>
  </si>
  <si>
    <t>Rente-%</t>
  </si>
  <si>
    <t>Rente per jaar</t>
  </si>
  <si>
    <t>beginmaand</t>
  </si>
  <si>
    <t>Aflossing per jaar</t>
  </si>
  <si>
    <t>verdeling jaar</t>
  </si>
  <si>
    <t>BTW-teruggave</t>
  </si>
  <si>
    <t>jaar 1</t>
  </si>
  <si>
    <t>looptijd financiering</t>
  </si>
  <si>
    <t>totale capaciteit</t>
  </si>
  <si>
    <t>uit zonnepanelen</t>
  </si>
  <si>
    <t xml:space="preserve">inkoop </t>
  </si>
  <si>
    <t>dagen van het gas af</t>
  </si>
  <si>
    <t xml:space="preserve">  handmatige invoer</t>
  </si>
  <si>
    <t xml:space="preserve">  zelfde als vorig jaar</t>
  </si>
  <si>
    <t xml:space="preserve">  zelfde als vorig jaar + inflatie/aanpassing</t>
  </si>
  <si>
    <t>dagen tot van gas af</t>
  </si>
  <si>
    <t>WAS</t>
  </si>
  <si>
    <t>Kalenderjaren</t>
  </si>
  <si>
    <t>uit
jaargegevens</t>
  </si>
  <si>
    <t>GEWIJZIGD</t>
  </si>
  <si>
    <t>in 1e jaar
niet naar
tijdsgelang</t>
  </si>
  <si>
    <t>gemiddelde
capaciteit</t>
  </si>
  <si>
    <t>uit
calculatie</t>
  </si>
  <si>
    <t>BC</t>
  </si>
  <si>
    <t>1e jaar
niet naar
tijdsgelang</t>
  </si>
  <si>
    <t>per 1000 Wp</t>
  </si>
  <si>
    <t>BTW terug te ontvangen</t>
  </si>
  <si>
    <t>Dit betaalde de klant zonder terugleveringskosten</t>
  </si>
  <si>
    <t>Dit gaat de klant betalen zonder saldering</t>
  </si>
  <si>
    <t>energiebelasting dit jaar</t>
  </si>
  <si>
    <t>soort contract</t>
  </si>
  <si>
    <t>Keuze ja/nee</t>
  </si>
  <si>
    <t>Nieuwe leverancier</t>
  </si>
  <si>
    <t>Frank Energie</t>
  </si>
  <si>
    <t>Hegg Energy</t>
  </si>
  <si>
    <t>opslag laag</t>
  </si>
  <si>
    <t>opslag terugl</t>
  </si>
  <si>
    <t>opslag</t>
  </si>
  <si>
    <t>Terugleververgoeding nieuw</t>
  </si>
  <si>
    <t>BC x AA</t>
  </si>
  <si>
    <t>BH - BE - Bi</t>
  </si>
  <si>
    <t>Correctie energiebelasting</t>
  </si>
  <si>
    <t>maximale capaciteit</t>
  </si>
  <si>
    <t>efficientie verlies</t>
  </si>
  <si>
    <t>1 - RTE x capaciteit</t>
  </si>
  <si>
    <t>CG + CR</t>
  </si>
  <si>
    <t>in te kopen</t>
  </si>
  <si>
    <t>inkoopprijs laag</t>
  </si>
  <si>
    <t>CS  - CT</t>
  </si>
  <si>
    <t>AE</t>
  </si>
  <si>
    <t>eigen gebruik</t>
  </si>
  <si>
    <t>AY</t>
  </si>
  <si>
    <t>CU x CV</t>
  </si>
  <si>
    <t>hoog tarief</t>
  </si>
  <si>
    <t>niet in te kopen tegen hoog tarief</t>
  </si>
  <si>
    <t>AI</t>
  </si>
  <si>
    <t>AY x AI</t>
  </si>
  <si>
    <t>teruglevering</t>
  </si>
  <si>
    <t>CT</t>
  </si>
  <si>
    <t>terugleververgoeding</t>
  </si>
  <si>
    <t>BJ</t>
  </si>
  <si>
    <t>resteert voor handel</t>
  </si>
  <si>
    <t>CY - CZ - DC</t>
  </si>
  <si>
    <t>verkoopprijs</t>
  </si>
  <si>
    <t>inkoop + uitbetaald</t>
  </si>
  <si>
    <t>BR + BV</t>
  </si>
  <si>
    <t>DF x DG</t>
  </si>
  <si>
    <t>verrkoop tegen hoogtarief</t>
  </si>
  <si>
    <t>totaal verkoop</t>
  </si>
  <si>
    <t>DB + DE + DH</t>
  </si>
  <si>
    <t>netto opbrengst</t>
  </si>
  <si>
    <t>te ontladen  (na RTE)</t>
  </si>
  <si>
    <t>maximale capaciteit =  te laden</t>
  </si>
  <si>
    <t>DH + DJ + DK</t>
  </si>
  <si>
    <t>verkoop minus inkoop</t>
  </si>
  <si>
    <t>na saldering</t>
  </si>
  <si>
    <t>kosten laden batterijen</t>
  </si>
  <si>
    <t>opbrengst ontladen batterijen</t>
  </si>
  <si>
    <t>opbrengsten</t>
  </si>
  <si>
    <t>totaal</t>
  </si>
  <si>
    <t>zakelijk</t>
  </si>
  <si>
    <t>particulier</t>
  </si>
  <si>
    <t>=</t>
  </si>
  <si>
    <t>af te dragen batterij</t>
  </si>
  <si>
    <t>-</t>
  </si>
  <si>
    <t>per saldo te ontvangen</t>
  </si>
  <si>
    <t>aantal jaren te betalen</t>
  </si>
  <si>
    <t>nu in KOR</t>
  </si>
  <si>
    <t>degradatie</t>
  </si>
  <si>
    <t>procent</t>
  </si>
  <si>
    <t>looptijd</t>
  </si>
  <si>
    <t>batterij</t>
  </si>
  <si>
    <t>annuïteit</t>
  </si>
  <si>
    <t>gemiddeld</t>
  </si>
  <si>
    <t>capaciteit</t>
  </si>
  <si>
    <t>cycli per dag</t>
  </si>
  <si>
    <t>dagen</t>
  </si>
  <si>
    <t>gegarandeerde cycli</t>
  </si>
  <si>
    <t>restcapaciteit na garantie</t>
  </si>
  <si>
    <t>jaar 2</t>
  </si>
  <si>
    <t>in jaar</t>
  </si>
  <si>
    <t>totaal aantal cycli</t>
  </si>
  <si>
    <t>"fictieve rente"</t>
  </si>
  <si>
    <t>Vanaf wanneer is de klant van het gas af?</t>
  </si>
  <si>
    <t>Installatiedatum</t>
  </si>
  <si>
    <t>De datum waarop de batterij wordt geïnstalleerd.</t>
  </si>
  <si>
    <t>Next Energy</t>
  </si>
  <si>
    <t>De stroom die de klant per jaar opwekt (app van zonnepanelen).</t>
  </si>
  <si>
    <t>Ja, zakelijk</t>
  </si>
  <si>
    <t>Alleen zelfconsumptie</t>
  </si>
  <si>
    <t>Zelfconsumptie + Handel</t>
  </si>
  <si>
    <t>Actief handelen</t>
  </si>
  <si>
    <t>Ja, particulier nieuw in KOR</t>
  </si>
  <si>
    <t>Ja, particulier al in KOR</t>
  </si>
  <si>
    <t>KOR</t>
  </si>
  <si>
    <t>Gebruikt de klant al KOR voor zonnepanelen?</t>
  </si>
  <si>
    <t>Particulier of zakelijk</t>
  </si>
  <si>
    <t>Koopt de klant de thuisbatterij particulier of zakelijk?</t>
  </si>
  <si>
    <t>Particulier</t>
  </si>
  <si>
    <t>Zakelijk</t>
  </si>
  <si>
    <t>Klant</t>
  </si>
  <si>
    <t>Calculator</t>
  </si>
  <si>
    <t>KEY</t>
  </si>
  <si>
    <t xml:space="preserve"> </t>
  </si>
  <si>
    <t>Eind jaar</t>
  </si>
  <si>
    <t>Model</t>
  </si>
  <si>
    <t>Cycles Tonen</t>
  </si>
  <si>
    <t>Prijs in BTW</t>
  </si>
  <si>
    <t>Prijs Ex BTW</t>
  </si>
  <si>
    <t>HYXiPOWER</t>
  </si>
  <si>
    <t>Onbeperkt</t>
  </si>
  <si>
    <t>Pakketprijs</t>
  </si>
  <si>
    <t>Noodstroom</t>
  </si>
  <si>
    <t>Meerkosten opties</t>
  </si>
  <si>
    <t>Basis</t>
  </si>
  <si>
    <t>Volwaardig</t>
  </si>
  <si>
    <t>Meegeleverde noodstroomvoorziening.</t>
  </si>
  <si>
    <t>Kosten voor opties (bijvoorbeeld noodstroomvoorziening).</t>
  </si>
  <si>
    <t>Financieel rendement</t>
  </si>
  <si>
    <t>De nieuwe energieleverancier van de klant.</t>
  </si>
  <si>
    <t>Zonnepanelen</t>
  </si>
  <si>
    <t>Geen teruggave BTW op aanschaf batterijen.</t>
  </si>
  <si>
    <t>De instelling van de batterij tot einde saldering.</t>
  </si>
  <si>
    <t>De opgewekte stroom die de klant direct verbruikt.</t>
  </si>
  <si>
    <t>Instelling</t>
  </si>
  <si>
    <t>Toekomstige instelling</t>
  </si>
  <si>
    <t>Ingangsjaar</t>
  </si>
  <si>
    <t>Het jaar waarop de toekomstige instelling van toepassing wordt</t>
  </si>
  <si>
    <t>De instelling van de batterij in de toekomst.</t>
  </si>
  <si>
    <t>Start</t>
  </si>
  <si>
    <t>Toekomst</t>
  </si>
  <si>
    <t>Aantal</t>
  </si>
  <si>
    <t>Storion</t>
  </si>
  <si>
    <t>HYX Hybride</t>
  </si>
  <si>
    <t>HYX All-In-One</t>
  </si>
  <si>
    <t>Module</t>
  </si>
  <si>
    <t>tot</t>
  </si>
  <si>
    <t>gas af</t>
  </si>
  <si>
    <t>el. auto</t>
  </si>
  <si>
    <t>Neem contact op met de accountant voor de exacte berekening.</t>
  </si>
  <si>
    <t xml:space="preserve">De zakelijke BTW is mede afhankelijk van andere factoren. </t>
  </si>
  <si>
    <t>BTW particulier maximaal</t>
  </si>
  <si>
    <t>BTW particulier alles</t>
  </si>
  <si>
    <t>Geen BTW</t>
  </si>
  <si>
    <t>tot van</t>
  </si>
  <si>
    <t>Producten kolom P bedrag gebruiken voor BTW berekening</t>
  </si>
  <si>
    <t>Aanpassingen</t>
  </si>
  <si>
    <t>Als BTW is groter dan 2494 dan 5 jaar 15 euro per kWh</t>
  </si>
  <si>
    <t>Als BTW is kleiner dan 2495 dan 1 jaar 15 euro per kWh</t>
  </si>
  <si>
    <t>Voor zelfconsumptie en Teruglevering vanuit PV mag de batterij maar 1 cycle per dag gebruiken.</t>
  </si>
  <si>
    <t>De restcapaciteit boven 1 cycle per dag wordt in eerste instantie gebruikt voor opslag PV en teruglevering.</t>
  </si>
  <si>
    <t>De restacapaciteit daarboven mag gebruikt worden voor handelen</t>
  </si>
  <si>
    <t>factuur en btw-bedrag particulier</t>
  </si>
  <si>
    <t>factuur en btw-bedrag zakelijk</t>
  </si>
  <si>
    <t>BTW zakelijk geen KOR</t>
  </si>
  <si>
    <t>BTW zakelijk KOR</t>
  </si>
  <si>
    <t>particulier/zakelijk</t>
  </si>
  <si>
    <t>niet in KOR</t>
  </si>
  <si>
    <t>Vattenfall</t>
  </si>
  <si>
    <t>Extra rendement</t>
  </si>
  <si>
    <t>Ik heb AB7 aangepast ivm geen opslag next</t>
  </si>
  <si>
    <t>Nederland is in 2050 volledig van het gas af. Nederlandse huishoudens gaan in de komende jaren 2 tot 4x zoveel stroom verbruiken. Wat zijn de verwachtingen met betrekking tot extra stroomverbruik in de komende jaren?</t>
  </si>
  <si>
    <t>datum van gas af</t>
  </si>
  <si>
    <t>AlphaESS Smile 1 fase</t>
  </si>
  <si>
    <t>AlphaESS Smile 3 fase</t>
  </si>
  <si>
    <t>AplhaESS Storion 3 fase</t>
  </si>
  <si>
    <t>HYXI HYX 1 fase</t>
  </si>
  <si>
    <t>HYXI HYX 3 fase</t>
  </si>
  <si>
    <t>Fase</t>
  </si>
  <si>
    <t>1 fase</t>
  </si>
  <si>
    <t>3 fase</t>
  </si>
  <si>
    <t>10,0 kW (Hybride)</t>
  </si>
  <si>
    <t>20,0 kW (Hybride)</t>
  </si>
  <si>
    <t>5,0 kW (Hybride)</t>
  </si>
  <si>
    <t>30,0 - 50,0 kW (Hybride)</t>
  </si>
  <si>
    <t>HIER ZIT DE OMVORMER CAPACITEIT IN MEEGEREKEND</t>
  </si>
  <si>
    <t>Keuze-menu fase</t>
  </si>
  <si>
    <t>Keuzemenu's merk</t>
  </si>
  <si>
    <t>Keuzemenu's omvormer</t>
  </si>
  <si>
    <t>merk1</t>
  </si>
  <si>
    <t>merk2</t>
  </si>
  <si>
    <t>omvo1</t>
  </si>
  <si>
    <t>omvo2</t>
  </si>
  <si>
    <t>omvo3</t>
  </si>
  <si>
    <t>omvo4</t>
  </si>
  <si>
    <t>omvo5</t>
  </si>
  <si>
    <t>capa1</t>
  </si>
  <si>
    <t>capa2</t>
  </si>
  <si>
    <t>capa3</t>
  </si>
  <si>
    <t>capa4</t>
  </si>
  <si>
    <t>capa5</t>
  </si>
  <si>
    <t>capa6</t>
  </si>
  <si>
    <t>capa7</t>
  </si>
  <si>
    <t>Merk batterij</t>
  </si>
  <si>
    <t>capa</t>
  </si>
  <si>
    <t>tekst na wijziging eerdere selectie</t>
  </si>
  <si>
    <t>Capaciteit over</t>
  </si>
  <si>
    <t>Opgeslagen zonnepanelen</t>
  </si>
  <si>
    <t>Verbruik van net</t>
  </si>
  <si>
    <t>Capaciteit over voor handel</t>
  </si>
  <si>
    <t>cycli per dag aangepast</t>
  </si>
  <si>
    <t>6,0 - 13,0 kW (All-in-One)</t>
  </si>
  <si>
    <t>Batterijen</t>
  </si>
  <si>
    <t>Installatie</t>
  </si>
  <si>
    <t>factuur</t>
  </si>
  <si>
    <t>buiten BTW</t>
  </si>
  <si>
    <t>0612345678</t>
  </si>
  <si>
    <t>definitief</t>
  </si>
  <si>
    <t>beoordeling cycli</t>
  </si>
  <si>
    <t>cycli</t>
  </si>
  <si>
    <t>per dag</t>
  </si>
  <si>
    <t>Selecteer de aansluiting, de batterij en de omvormer.</t>
  </si>
  <si>
    <t>excl. en.bel.</t>
  </si>
  <si>
    <t>excl. eb.</t>
  </si>
  <si>
    <t>huidig contract dynamisch</t>
  </si>
  <si>
    <t>laatste jaar saldering</t>
  </si>
  <si>
    <t>Laatste jaar saldering</t>
  </si>
  <si>
    <t>kW</t>
  </si>
  <si>
    <t>Kosten voor 20 kW omvormer Alpha ESS.</t>
  </si>
  <si>
    <t>maak andere keuze</t>
  </si>
  <si>
    <t>Hogere kosten door einde saldering (t.o.v. oorspronkelijke kosten).</t>
  </si>
  <si>
    <r>
      <t>Investering</t>
    </r>
    <r>
      <rPr>
        <sz val="12"/>
        <color theme="1"/>
        <rFont val="Lufga Regular"/>
      </rPr>
      <t xml:space="preserve"> </t>
    </r>
    <r>
      <rPr>
        <sz val="9"/>
        <color theme="1"/>
        <rFont val="Lufga Regular"/>
      </rPr>
      <t>(inclusief eenmalige en doorlopende kosten)</t>
    </r>
  </si>
  <si>
    <r>
      <rPr>
        <b/>
        <sz val="9"/>
        <color rgb="FF56E27E"/>
        <rFont val="Lufga Regular"/>
      </rPr>
      <t>Gemiddelde opbrengst per jaar</t>
    </r>
    <r>
      <rPr>
        <sz val="9"/>
        <color rgb="FF56E27E"/>
        <rFont val="Lufga Regular"/>
      </rPr>
      <t xml:space="preserve"> (volledige levensduur)</t>
    </r>
  </si>
  <si>
    <t>Dynamisch contract gemiddeld</t>
  </si>
  <si>
    <t>Oorspronkelijk kosten</t>
  </si>
  <si>
    <t>Teruglevering (saldering)</t>
  </si>
  <si>
    <t>Per saldo</t>
  </si>
  <si>
    <t>Teruglevering (boven saldering)</t>
  </si>
  <si>
    <t>na afschaffing saldering</t>
  </si>
  <si>
    <t>(boven saldering)</t>
  </si>
  <si>
    <t>(bij saldering met verbruik)</t>
  </si>
  <si>
    <t>Smile3,6 binnen</t>
  </si>
  <si>
    <t>Smile9,3 buiten</t>
  </si>
  <si>
    <r>
      <rPr>
        <b/>
        <sz val="9"/>
        <color rgb="FF56E27E"/>
        <rFont val="Lufga Regular"/>
      </rPr>
      <t>Gemiddelde opbrengst per maand</t>
    </r>
    <r>
      <rPr>
        <sz val="9"/>
        <color rgb="FF56E27E"/>
        <rFont val="Lufga Regular"/>
      </rPr>
      <t xml:space="preserve"> (volledige levensduur)</t>
    </r>
  </si>
  <si>
    <t>Prijs per kWh</t>
  </si>
  <si>
    <t>IP Omvormer</t>
  </si>
  <si>
    <t>IP Batterij</t>
  </si>
  <si>
    <t>Geschikt Buiten</t>
  </si>
  <si>
    <t>Breedte (mm)</t>
  </si>
  <si>
    <t>Diepte (mm)</t>
  </si>
  <si>
    <t>Hoogte (mm)</t>
  </si>
  <si>
    <t>Totale Hoogte (mm)</t>
  </si>
  <si>
    <t>Gewicht Module (kg)</t>
  </si>
  <si>
    <t>Max modules in toren</t>
  </si>
  <si>
    <t>Aansturing</t>
  </si>
  <si>
    <t>Bevestiging</t>
  </si>
  <si>
    <t>Opmerkingen</t>
  </si>
  <si>
    <t>IP65</t>
  </si>
  <si>
    <t>IP21</t>
  </si>
  <si>
    <t>Basis configuratie, alleen binnen IP21</t>
  </si>
  <si>
    <t>Maximum voor 1-fase systeem</t>
  </si>
  <si>
    <t>IP65 batterij = buitengeschikt, vanaf hier 1 fase</t>
  </si>
  <si>
    <t>BTW grens €13.999 overschreden, factuur gesplitst</t>
  </si>
  <si>
    <t>Grootste 9.3 opstelling 1-fase</t>
  </si>
  <si>
    <t>3 fase 3,6 kWh modules, flexibel in opbouw</t>
  </si>
  <si>
    <t>Dubbele rack vanaf hier</t>
  </si>
  <si>
    <t>8 modules dubbele rack</t>
  </si>
  <si>
    <t>Triple rack</t>
  </si>
  <si>
    <t>Grootste 3.6kWh opstelling</t>
  </si>
  <si>
    <t xml:space="preserve"> Goede specs voor de prijs</t>
  </si>
  <si>
    <t>Dubbele rack</t>
  </si>
  <si>
    <t>5 modules dubbele rack</t>
  </si>
  <si>
    <t>6 modules dubbele rack</t>
  </si>
  <si>
    <t>8 modules triple rack</t>
  </si>
  <si>
    <t>10 modules quad rack</t>
  </si>
  <si>
    <t>Grootste Smile configuratie</t>
  </si>
  <si>
    <t>IP55</t>
  </si>
  <si>
    <t>IP20</t>
  </si>
  <si>
    <t>Off-grid capable, 8000 cycli, 5 jaar garantie</t>
  </si>
  <si>
    <t>Dubbele kast vanaf 6 modules</t>
  </si>
  <si>
    <t>7 modules dubbele kast</t>
  </si>
  <si>
    <t>8 modules dubbele kast</t>
  </si>
  <si>
    <t>9 modules dubbele kast</t>
  </si>
  <si>
    <t>Grootste Storion opstelling</t>
  </si>
  <si>
    <t>IP67</t>
  </si>
  <si>
    <t>Alleen Frank</t>
  </si>
  <si>
    <t>IP65 = buitengeschikt, 1 fase geen verzwaring nodig, budget optie</t>
  </si>
  <si>
    <t>PI67</t>
  </si>
  <si>
    <t>5 modules hoge stack, maximum voor 1 fase</t>
  </si>
  <si>
    <t>IP65 = buitengeschikt, voor 3 fase</t>
  </si>
  <si>
    <t>5 modules hoge stack</t>
  </si>
  <si>
    <t>BTW grens €13.999 overschreden, factuur gesplitst, dubbele rij</t>
  </si>
  <si>
    <t>8 modules dubbele rij</t>
  </si>
  <si>
    <t>Grootste Hybride opstelling</t>
  </si>
  <si>
    <t>Complete onafhankelijkheid, onbeperkte cycli garantie</t>
  </si>
  <si>
    <t>Meer vermogen, onbeperkte cycli garantie</t>
  </si>
  <si>
    <t>BTW grens €13.999 overschreden,  factuur gesplitst</t>
  </si>
  <si>
    <t>Hoogste vermogen 13kW, BTW grens €13.999 overschreden, factuur gesplitst</t>
  </si>
  <si>
    <t>per maand inclusief BTW</t>
  </si>
  <si>
    <t>per kWh inclusief BTW</t>
  </si>
  <si>
    <t xml:space="preserve">De vaste leveringskosten die de klant betaalt voor stroom </t>
  </si>
  <si>
    <r>
      <t xml:space="preserve">Het tarief </t>
    </r>
    <r>
      <rPr>
        <u/>
        <sz val="12"/>
        <color theme="1"/>
        <rFont val="Lufga Regular"/>
      </rPr>
      <t>exclusief energiebelasting</t>
    </r>
    <r>
      <rPr>
        <sz val="12"/>
        <color theme="1"/>
        <rFont val="Lufga Regular"/>
      </rPr>
      <t xml:space="preserve"> dat de klant nu betaalt </t>
    </r>
  </si>
  <si>
    <t>exclusief energiebelasting</t>
  </si>
  <si>
    <t>inclusief energiebelasting</t>
  </si>
  <si>
    <t>Kosten aangifte</t>
  </si>
  <si>
    <t>Totaal</t>
  </si>
  <si>
    <t>omvormer</t>
  </si>
  <si>
    <t/>
  </si>
  <si>
    <t>wel in KOR</t>
  </si>
  <si>
    <t>rg1</t>
  </si>
  <si>
    <t>rg2</t>
  </si>
  <si>
    <t>rg3</t>
  </si>
  <si>
    <t>rg4</t>
  </si>
  <si>
    <t>rg5</t>
  </si>
  <si>
    <t>rg6</t>
  </si>
  <si>
    <t>rg7</t>
  </si>
  <si>
    <t>rgl</t>
  </si>
  <si>
    <t>Na afschaffing saldering wordt uitgegaan van een teruglevergoeding gelijk aan terugleverkosten In de berekening beiden € 0,00)</t>
  </si>
  <si>
    <t>De terugleverkosten die de huidige leverancier rekent.</t>
  </si>
  <si>
    <t>rg8</t>
  </si>
  <si>
    <t>AlphaESS  Smile3,6 binnen 21,85 (3 Fase)</t>
  </si>
  <si>
    <t>BTW per saldo</t>
  </si>
  <si>
    <t>De vergoeding die klant ontvangt.</t>
  </si>
  <si>
    <t xml:space="preserve">  Versie 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</si>
</sst>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6">
    <numFmt numFmtId="5" formatCode="&quot;€&quot;\ #,##0_);\(&quot;€&quot;\ #,##0\)"/>
    <numFmt numFmtId="42" formatCode="_(&quot;€&quot;\ * #,##0_);_(&quot;€&quot;\ * \(#,##0\);_(&quot;€&quot;\ * &quot;-&quot;_);_(@_)"/>
    <numFmt numFmtId="44" formatCode="_(&quot;€&quot;\ * #,##0.00_);_(&quot;€&quot;\ * \(#,##0.00\);_(&quot;€&quot;\ * &quot;-&quot;??_);_(@_)"/>
    <numFmt numFmtId="164" formatCode="_ &quot;€&quot;\ * #,##0.00_ ;_ &quot;€&quot;\ * \-#,##0.00_ ;_ &quot;€&quot;\ * &quot;-&quot;??_ ;_ @_ "/>
    <numFmt numFmtId="165" formatCode="_(&quot;€&quot;\ * #,##0_);_(&quot;€&quot;\ * \(#,##0\);_(&quot;€&quot;\ * &quot;-&quot;??_);_(@_)"/>
    <numFmt numFmtId="166" formatCode="&quot;€&quot;\ #,##0.00"/>
    <numFmt numFmtId="167" formatCode="&quot;€&quot;\ #,##0"/>
    <numFmt numFmtId="168" formatCode="0.0"/>
    <numFmt numFmtId="169" formatCode="0.00000"/>
    <numFmt numFmtId="170" formatCode="0.0000"/>
    <numFmt numFmtId="171" formatCode="[$-413]dd\-mmm\-yy;@"/>
    <numFmt numFmtId="172" formatCode="0.000"/>
    <numFmt numFmtId="173" formatCode="[$]dd/mm/yyyy;@" x16r2:formatCode16="[$-en-NL,1]dd/mm/yyyy;@"/>
    <numFmt numFmtId="174" formatCode="&quot;€&quot;\ #,##0.00000"/>
    <numFmt numFmtId="175" formatCode="#,##0.0"/>
    <numFmt numFmtId="176" formatCode="&quot;€&quot;\ #,##0.00000_);\(&quot;€&quot;\ #,##0.00000\)"/>
    <numFmt numFmtId="177" formatCode="_(&quot;€&quot;\ * #,##0.00_);_(&quot;€&quot;\ * \(#,##0.00\);_(&quot;€&quot;\ * &quot;-&quot;_);_(@_)"/>
    <numFmt numFmtId="178" formatCode="0.0000%"/>
    <numFmt numFmtId="179" formatCode="#,##0.000"/>
    <numFmt numFmtId="180" formatCode="#,##0.0000"/>
    <numFmt numFmtId="181" formatCode="[$]dd\-mm\-yyyy;@" x16r2:formatCode16="[$-en-NL,1]dd\-mm\-yyyy;@"/>
    <numFmt numFmtId="182" formatCode="0.000%"/>
    <numFmt numFmtId="183" formatCode="_ &quot;€&quot;\ * #,##0.00000_ ;_ &quot;€&quot;\ * \-#,##0.00000_ ;_ &quot;€&quot;\ * &quot;-&quot;??_ ;_ @_ "/>
    <numFmt numFmtId="184" formatCode="\€#,##0"/>
    <numFmt numFmtId="185" formatCode="&quot;€&quot;\ #,##0.0000"/>
    <numFmt numFmtId="186" formatCode="_(&quot;€&quot;\ * #,##0.0_);_(&quot;€&quot;\ * \(#,##0.0\);_(&quot;€&quot;\ * &quot;-&quot;?_);_(@_)"/>
  </numFmts>
  <fonts count="77">
    <font>
      <sz val="12"/>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2"/>
      <color theme="1"/>
      <name val="Aptos Narrow"/>
      <family val="2"/>
      <scheme val="minor"/>
    </font>
    <font>
      <sz val="12"/>
      <color theme="1"/>
      <name val="Inter"/>
    </font>
    <font>
      <sz val="12"/>
      <color theme="1"/>
      <name val="Aptos Narrow"/>
      <family val="2"/>
      <scheme val="minor"/>
    </font>
    <font>
      <sz val="12"/>
      <color theme="1" tint="0.499984740745262"/>
      <name val="Aptos Narrow"/>
      <family val="2"/>
      <scheme val="minor"/>
    </font>
    <font>
      <sz val="12"/>
      <color theme="0"/>
      <name val="Inter"/>
    </font>
    <font>
      <sz val="12"/>
      <color rgb="FF00A065"/>
      <name val="Inter"/>
    </font>
    <font>
      <b/>
      <sz val="16"/>
      <color theme="1"/>
      <name val="Aptos Narrow"/>
      <family val="2"/>
      <scheme val="minor"/>
    </font>
    <font>
      <sz val="9"/>
      <color theme="0"/>
      <name val="Inter"/>
    </font>
    <font>
      <sz val="12"/>
      <color theme="0" tint="-0.499984740745262"/>
      <name val="Inter"/>
    </font>
    <font>
      <sz val="8"/>
      <name val="Aptos Narrow"/>
      <family val="2"/>
      <scheme val="minor"/>
    </font>
    <font>
      <b/>
      <u/>
      <sz val="11"/>
      <color theme="1"/>
      <name val="Aptos Narrow"/>
      <family val="2"/>
      <scheme val="minor"/>
    </font>
    <font>
      <b/>
      <sz val="9"/>
      <name val="Inter"/>
    </font>
    <font>
      <b/>
      <sz val="11"/>
      <color theme="1"/>
      <name val="Aptos Narrow"/>
      <family val="2"/>
      <scheme val="minor"/>
    </font>
    <font>
      <sz val="9"/>
      <name val="Helvetica Neue"/>
      <family val="2"/>
    </font>
    <font>
      <sz val="9"/>
      <name val="Inter"/>
    </font>
    <font>
      <b/>
      <u/>
      <sz val="12"/>
      <color theme="1"/>
      <name val="Aptos Narrow"/>
      <family val="2"/>
      <scheme val="minor"/>
    </font>
    <font>
      <b/>
      <sz val="12"/>
      <color theme="1"/>
      <name val="Aptos Narrow"/>
      <family val="2"/>
      <scheme val="minor"/>
    </font>
    <font>
      <b/>
      <sz val="12"/>
      <color theme="1"/>
      <name val="Aptos Narrow"/>
      <family val="2"/>
      <scheme val="minor"/>
    </font>
    <font>
      <b/>
      <sz val="12"/>
      <color theme="1"/>
      <name val="Aptos Narrow"/>
      <family val="2"/>
      <scheme val="minor"/>
    </font>
    <font>
      <sz val="12"/>
      <color theme="1"/>
      <name val="Lufga Regular"/>
    </font>
    <font>
      <sz val="9"/>
      <color theme="0"/>
      <name val="Lufga Regular"/>
    </font>
    <font>
      <sz val="12"/>
      <color theme="0"/>
      <name val="Lufga Regular"/>
    </font>
    <font>
      <sz val="12"/>
      <color theme="0" tint="-0.499984740745262"/>
      <name val="Lufga Regular"/>
    </font>
    <font>
      <b/>
      <sz val="30"/>
      <color theme="1"/>
      <name val="Lufga Regular"/>
    </font>
    <font>
      <sz val="9"/>
      <color theme="1"/>
      <name val="Lufga Regular"/>
    </font>
    <font>
      <b/>
      <sz val="20"/>
      <color theme="1"/>
      <name val="Lufga Regular"/>
    </font>
    <font>
      <b/>
      <sz val="12"/>
      <color theme="1"/>
      <name val="Lufga Regular"/>
    </font>
    <font>
      <sz val="12"/>
      <color rgb="FF000000"/>
      <name val="Lufga Regular"/>
    </font>
    <font>
      <sz val="6"/>
      <color theme="0" tint="-0.499984740745262"/>
      <name val="Lufga Regular"/>
    </font>
    <font>
      <sz val="12"/>
      <color rgb="FF00A065"/>
      <name val="Lufga Regular"/>
    </font>
    <font>
      <b/>
      <sz val="16"/>
      <color theme="1"/>
      <name val="Lufga Regular"/>
    </font>
    <font>
      <b/>
      <sz val="12"/>
      <color rgb="FF00A065"/>
      <name val="Lufga Regular"/>
    </font>
    <font>
      <sz val="9"/>
      <color rgb="FF00A065"/>
      <name val="Lufga Regular"/>
    </font>
    <font>
      <sz val="12"/>
      <color theme="5"/>
      <name val="Lufga Regular"/>
    </font>
    <font>
      <sz val="9"/>
      <color theme="0" tint="-0.499984740745262"/>
      <name val="Lufga Regular"/>
    </font>
    <font>
      <sz val="9"/>
      <color theme="5"/>
      <name val="Lufga Regular"/>
    </font>
    <font>
      <b/>
      <sz val="12"/>
      <color theme="0"/>
      <name val="Lufga Regular"/>
    </font>
    <font>
      <sz val="16"/>
      <color theme="0"/>
      <name val="Lufga Regular"/>
    </font>
    <font>
      <b/>
      <sz val="16"/>
      <color theme="0"/>
      <name val="Lufga Regular"/>
    </font>
    <font>
      <sz val="16"/>
      <color theme="0" tint="-0.499984740745262"/>
      <name val="Lufga Regular"/>
    </font>
    <font>
      <sz val="16"/>
      <color theme="1"/>
      <name val="Lufga Regular"/>
    </font>
    <font>
      <b/>
      <sz val="9"/>
      <color theme="1"/>
      <name val="Lufga Regular"/>
    </font>
    <font>
      <b/>
      <sz val="8"/>
      <color theme="1"/>
      <name val="Lufga Regular"/>
    </font>
    <font>
      <b/>
      <sz val="6"/>
      <color theme="1"/>
      <name val="Lufga Regular"/>
    </font>
    <font>
      <b/>
      <sz val="12"/>
      <color theme="0" tint="-0.499984740745262"/>
      <name val="Lufga Regular"/>
    </font>
    <font>
      <i/>
      <sz val="8"/>
      <color theme="1"/>
      <name val="Lufga Regular"/>
    </font>
    <font>
      <i/>
      <sz val="6"/>
      <color theme="1"/>
      <name val="Lufga Regular"/>
    </font>
    <font>
      <sz val="8"/>
      <color theme="1"/>
      <name val="Lufga Regular"/>
    </font>
    <font>
      <sz val="6"/>
      <color theme="1"/>
      <name val="Lufga Regular"/>
    </font>
    <font>
      <b/>
      <i/>
      <sz val="6"/>
      <color theme="1"/>
      <name val="Lufga Regular"/>
    </font>
    <font>
      <i/>
      <sz val="9"/>
      <color theme="0"/>
      <name val="Lufga Regular"/>
    </font>
    <font>
      <b/>
      <sz val="9"/>
      <color theme="0"/>
      <name val="Lufga Regular"/>
    </font>
    <font>
      <b/>
      <sz val="9"/>
      <name val="Lufga Regular"/>
    </font>
    <font>
      <b/>
      <sz val="9"/>
      <color rgb="FF00A065"/>
      <name val="Lufga Regular"/>
    </font>
    <font>
      <b/>
      <sz val="12"/>
      <color rgb="FF56E27E"/>
      <name val="Lufga Regular"/>
    </font>
    <font>
      <sz val="9"/>
      <color rgb="FF56E27E"/>
      <name val="Lufga Regular"/>
    </font>
    <font>
      <b/>
      <sz val="12"/>
      <color theme="5"/>
      <name val="Lufga Regular"/>
    </font>
    <font>
      <i/>
      <sz val="12"/>
      <color theme="5"/>
      <name val="Lufga Regular"/>
    </font>
    <font>
      <b/>
      <i/>
      <sz val="12"/>
      <color theme="5"/>
      <name val="Lufga Regular"/>
    </font>
    <font>
      <sz val="12"/>
      <color rgb="FF56E27E"/>
      <name val="Lufga Regular"/>
    </font>
    <font>
      <sz val="16"/>
      <color rgb="FF56E27E"/>
      <name val="Lufga Regular"/>
    </font>
    <font>
      <b/>
      <sz val="9"/>
      <color rgb="FF56E27E"/>
      <name val="Lufga Regular"/>
    </font>
    <font>
      <b/>
      <sz val="20"/>
      <color rgb="FF56E27E"/>
      <name val="Lufga Regular"/>
    </font>
    <font>
      <b/>
      <u/>
      <sz val="12"/>
      <color theme="1"/>
      <name val="Lufga Regular"/>
    </font>
    <font>
      <b/>
      <sz val="10"/>
      <name val="Cambria"/>
      <family val="1"/>
    </font>
    <font>
      <u/>
      <sz val="12"/>
      <color theme="1"/>
      <name val="Lufga Regular"/>
    </font>
    <font>
      <sz val="12"/>
      <color rgb="FF000000"/>
      <name val="Aptos Narrow"/>
      <family val="2"/>
    </font>
    <font>
      <sz val="10"/>
      <color rgb="FF000000"/>
      <name val="Tahoma"/>
      <family val="2"/>
    </font>
    <font>
      <b/>
      <sz val="10"/>
      <color rgb="FF000000"/>
      <name val="Tahoma"/>
      <family val="2"/>
    </font>
  </fonts>
  <fills count="15">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8" tint="0.79998168889431442"/>
        <bgColor indexed="64"/>
      </patternFill>
    </fill>
    <fill>
      <patternFill patternType="solid">
        <fgColor rgb="FFFFFF00"/>
        <bgColor indexed="64"/>
      </patternFill>
    </fill>
    <fill>
      <patternFill patternType="solid">
        <fgColor rgb="FFF2F2F2"/>
        <bgColor rgb="FF000000"/>
      </patternFill>
    </fill>
    <fill>
      <patternFill patternType="solid">
        <fgColor rgb="FF92D050"/>
        <bgColor indexed="64"/>
      </patternFill>
    </fill>
    <fill>
      <patternFill patternType="solid">
        <fgColor rgb="FF00B0F0"/>
        <bgColor indexed="64"/>
      </patternFill>
    </fill>
    <fill>
      <patternFill patternType="solid">
        <fgColor theme="9"/>
        <bgColor indexed="64"/>
      </patternFill>
    </fill>
    <fill>
      <patternFill patternType="solid">
        <fgColor theme="5"/>
        <bgColor indexed="64"/>
      </patternFill>
    </fill>
    <fill>
      <patternFill patternType="solid">
        <fgColor theme="1" tint="0.499984740745262"/>
        <bgColor indexed="64"/>
      </patternFill>
    </fill>
    <fill>
      <patternFill patternType="solid">
        <fgColor rgb="FF56E27E"/>
        <bgColor indexed="64"/>
      </patternFill>
    </fill>
    <fill>
      <patternFill patternType="solid">
        <fgColor theme="0" tint="-0.14999847407452621"/>
        <bgColor rgb="FF4472C4"/>
      </patternFill>
    </fill>
  </fills>
  <borders count="27">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indexed="64"/>
      </left>
      <right style="thin">
        <color indexed="64"/>
      </right>
      <top style="thin">
        <color indexed="64"/>
      </top>
      <bottom style="thin">
        <color indexed="64"/>
      </bottom>
      <diagonal/>
    </border>
    <border>
      <left style="thin">
        <color theme="0" tint="-0.249977111117893"/>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right/>
      <top style="thin">
        <color theme="0" tint="-0.249977111117893"/>
      </top>
      <bottom/>
      <diagonal/>
    </border>
    <border>
      <left/>
      <right/>
      <top style="thin">
        <color indexed="64"/>
      </top>
      <bottom style="thin">
        <color indexed="64"/>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right/>
      <top/>
      <bottom style="thin">
        <color indexed="64"/>
      </bottom>
      <diagonal/>
    </border>
    <border>
      <left style="thin">
        <color theme="0" tint="-0.249977111117893"/>
      </left>
      <right style="thin">
        <color theme="0" tint="-0.249977111117893"/>
      </right>
      <top/>
      <bottom style="thin">
        <color indexed="64"/>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6">
    <xf numFmtId="0" fontId="0" fillId="0" borderId="0"/>
    <xf numFmtId="44" fontId="8" fillId="0" borderId="0" applyFont="0" applyFill="0" applyBorder="0" applyAlignment="0" applyProtection="0"/>
    <xf numFmtId="9" fontId="8" fillId="0" borderId="0" applyFont="0" applyFill="0" applyBorder="0" applyAlignment="0" applyProtection="0"/>
    <xf numFmtId="0" fontId="7" fillId="0" borderId="0"/>
    <xf numFmtId="0" fontId="4" fillId="0" borderId="0"/>
    <xf numFmtId="9" fontId="4" fillId="0" borderId="0" applyFont="0" applyFill="0" applyBorder="0" applyAlignment="0" applyProtection="0"/>
  </cellStyleXfs>
  <cellXfs count="508">
    <xf numFmtId="0" fontId="0" fillId="0" borderId="0" xfId="0"/>
    <xf numFmtId="0" fontId="9" fillId="4" borderId="0" xfId="0" applyFont="1" applyFill="1"/>
    <xf numFmtId="0" fontId="12" fillId="4" borderId="0" xfId="0" applyFont="1" applyFill="1"/>
    <xf numFmtId="0" fontId="9" fillId="2" borderId="0" xfId="0" applyFont="1" applyFill="1"/>
    <xf numFmtId="0" fontId="15" fillId="2" borderId="0" xfId="0" applyFont="1" applyFill="1"/>
    <xf numFmtId="0" fontId="12" fillId="2" borderId="0" xfId="0" applyFont="1" applyFill="1"/>
    <xf numFmtId="0" fontId="16" fillId="4" borderId="0" xfId="0" applyFont="1" applyFill="1"/>
    <xf numFmtId="0" fontId="13" fillId="4" borderId="0" xfId="0" applyFont="1" applyFill="1"/>
    <xf numFmtId="0" fontId="11" fillId="2" borderId="0" xfId="0" applyFont="1" applyFill="1"/>
    <xf numFmtId="0" fontId="10" fillId="2" borderId="0" xfId="0" applyFont="1" applyFill="1"/>
    <xf numFmtId="3" fontId="10" fillId="2" borderId="0" xfId="0" applyNumberFormat="1" applyFont="1" applyFill="1" applyAlignment="1">
      <alignment horizontal="center"/>
    </xf>
    <xf numFmtId="0" fontId="10" fillId="2" borderId="0" xfId="0" applyFont="1" applyFill="1" applyAlignment="1">
      <alignment horizontal="center"/>
    </xf>
    <xf numFmtId="0" fontId="0" fillId="2" borderId="0" xfId="0" applyFill="1"/>
    <xf numFmtId="14" fontId="10" fillId="2" borderId="0" xfId="0" applyNumberFormat="1" applyFont="1" applyFill="1"/>
    <xf numFmtId="3" fontId="10" fillId="2" borderId="0" xfId="0" applyNumberFormat="1" applyFont="1" applyFill="1" applyAlignment="1">
      <alignment horizontal="left"/>
    </xf>
    <xf numFmtId="1" fontId="10" fillId="2" borderId="0" xfId="0" applyNumberFormat="1" applyFont="1" applyFill="1"/>
    <xf numFmtId="9" fontId="10" fillId="2" borderId="0" xfId="2" applyFont="1" applyFill="1" applyAlignment="1"/>
    <xf numFmtId="44" fontId="10" fillId="2" borderId="0" xfId="1" applyFont="1" applyFill="1" applyAlignment="1">
      <alignment horizontal="center"/>
    </xf>
    <xf numFmtId="4" fontId="10" fillId="2" borderId="0" xfId="0" applyNumberFormat="1" applyFont="1" applyFill="1" applyAlignment="1">
      <alignment horizontal="center"/>
    </xf>
    <xf numFmtId="0" fontId="10" fillId="2" borderId="1" xfId="0" applyFont="1" applyFill="1" applyBorder="1" applyAlignment="1">
      <alignment horizontal="center"/>
    </xf>
    <xf numFmtId="3" fontId="10" fillId="2" borderId="1" xfId="0" applyNumberFormat="1" applyFont="1" applyFill="1" applyBorder="1" applyAlignment="1">
      <alignment horizontal="center"/>
    </xf>
    <xf numFmtId="165" fontId="10" fillId="2" borderId="1" xfId="1" applyNumberFormat="1" applyFont="1" applyFill="1" applyBorder="1" applyAlignment="1">
      <alignment horizontal="center" textRotation="90"/>
    </xf>
    <xf numFmtId="3" fontId="10" fillId="2" borderId="5" xfId="0" applyNumberFormat="1" applyFont="1" applyFill="1" applyBorder="1" applyAlignment="1">
      <alignment horizontal="center" textRotation="90"/>
    </xf>
    <xf numFmtId="10" fontId="10" fillId="2" borderId="1" xfId="2" applyNumberFormat="1" applyFont="1" applyFill="1" applyBorder="1" applyAlignment="1">
      <alignment horizontal="center"/>
    </xf>
    <xf numFmtId="3" fontId="10" fillId="2" borderId="1" xfId="2" applyNumberFormat="1" applyFont="1" applyFill="1" applyBorder="1" applyAlignment="1">
      <alignment horizontal="center"/>
    </xf>
    <xf numFmtId="9" fontId="10" fillId="2" borderId="1" xfId="2" applyFont="1" applyFill="1" applyBorder="1" applyAlignment="1">
      <alignment horizontal="center"/>
    </xf>
    <xf numFmtId="4" fontId="10" fillId="2" borderId="1" xfId="0" applyNumberFormat="1" applyFont="1" applyFill="1" applyBorder="1" applyAlignment="1">
      <alignment horizontal="center"/>
    </xf>
    <xf numFmtId="166" fontId="10" fillId="2" borderId="1" xfId="1" applyNumberFormat="1" applyFont="1" applyFill="1" applyBorder="1" applyAlignment="1">
      <alignment horizontal="center"/>
    </xf>
    <xf numFmtId="3" fontId="0" fillId="2" borderId="1" xfId="0" applyNumberFormat="1" applyFill="1" applyBorder="1" applyAlignment="1">
      <alignment horizontal="center"/>
    </xf>
    <xf numFmtId="9" fontId="0" fillId="2" borderId="1" xfId="2" applyFont="1" applyFill="1" applyBorder="1" applyAlignment="1">
      <alignment horizontal="center"/>
    </xf>
    <xf numFmtId="166" fontId="10" fillId="2" borderId="0" xfId="0" applyNumberFormat="1" applyFont="1" applyFill="1"/>
    <xf numFmtId="167" fontId="10" fillId="2" borderId="1" xfId="0" applyNumberFormat="1" applyFont="1" applyFill="1" applyBorder="1" applyAlignment="1">
      <alignment horizontal="center"/>
    </xf>
    <xf numFmtId="167" fontId="10" fillId="2" borderId="1" xfId="1" applyNumberFormat="1" applyFont="1" applyFill="1" applyBorder="1" applyAlignment="1">
      <alignment horizontal="center"/>
    </xf>
    <xf numFmtId="5" fontId="10" fillId="2" borderId="1" xfId="1" applyNumberFormat="1" applyFont="1" applyFill="1" applyBorder="1" applyAlignment="1">
      <alignment horizontal="center"/>
    </xf>
    <xf numFmtId="165" fontId="10" fillId="2" borderId="0" xfId="1" applyNumberFormat="1" applyFont="1" applyFill="1" applyAlignment="1">
      <alignment horizontal="center"/>
    </xf>
    <xf numFmtId="0" fontId="10" fillId="2" borderId="0" xfId="0" applyFont="1" applyFill="1" applyAlignment="1">
      <alignment horizontal="left"/>
    </xf>
    <xf numFmtId="0" fontId="11" fillId="2" borderId="0" xfId="0" applyFont="1" applyFill="1" applyAlignment="1">
      <alignment horizontal="right"/>
    </xf>
    <xf numFmtId="10" fontId="10" fillId="2" borderId="1" xfId="2" applyNumberFormat="1" applyFont="1" applyFill="1" applyBorder="1" applyAlignment="1">
      <alignment horizontal="right"/>
    </xf>
    <xf numFmtId="165" fontId="10" fillId="2" borderId="1" xfId="1" applyNumberFormat="1" applyFont="1" applyFill="1" applyBorder="1" applyAlignment="1">
      <alignment horizontal="center"/>
    </xf>
    <xf numFmtId="44" fontId="10" fillId="2" borderId="1" xfId="1" applyFont="1" applyFill="1" applyBorder="1" applyAlignment="1">
      <alignment horizontal="center"/>
    </xf>
    <xf numFmtId="0" fontId="10" fillId="2" borderId="0" xfId="0" applyFont="1" applyFill="1" applyAlignment="1">
      <alignment horizontal="right"/>
    </xf>
    <xf numFmtId="3" fontId="10" fillId="2" borderId="0" xfId="0" applyNumberFormat="1" applyFont="1" applyFill="1" applyAlignment="1">
      <alignment horizontal="center" wrapText="1"/>
    </xf>
    <xf numFmtId="44" fontId="10" fillId="2" borderId="5" xfId="1" applyFont="1" applyFill="1" applyBorder="1" applyAlignment="1">
      <alignment horizontal="center" textRotation="90"/>
    </xf>
    <xf numFmtId="1" fontId="18" fillId="0" borderId="0" xfId="3" applyNumberFormat="1" applyFont="1"/>
    <xf numFmtId="169" fontId="7" fillId="0" borderId="0" xfId="3" applyNumberFormat="1" applyAlignment="1">
      <alignment horizontal="center"/>
    </xf>
    <xf numFmtId="3" fontId="7" fillId="0" borderId="0" xfId="3" applyNumberFormat="1" applyAlignment="1">
      <alignment horizontal="center"/>
    </xf>
    <xf numFmtId="0" fontId="7" fillId="0" borderId="0" xfId="3" applyAlignment="1">
      <alignment horizontal="center"/>
    </xf>
    <xf numFmtId="10" fontId="18" fillId="0" borderId="0" xfId="3" applyNumberFormat="1" applyFont="1" applyAlignment="1">
      <alignment horizontal="center"/>
    </xf>
    <xf numFmtId="0" fontId="7" fillId="0" borderId="0" xfId="3"/>
    <xf numFmtId="170" fontId="7" fillId="0" borderId="0" xfId="3" applyNumberFormat="1" applyAlignment="1">
      <alignment horizontal="center"/>
    </xf>
    <xf numFmtId="1" fontId="18" fillId="0" borderId="0" xfId="3" applyNumberFormat="1" applyFont="1" applyAlignment="1">
      <alignment horizontal="center"/>
    </xf>
    <xf numFmtId="169" fontId="18" fillId="0" borderId="0" xfId="3" applyNumberFormat="1" applyFont="1" applyAlignment="1">
      <alignment horizontal="center"/>
    </xf>
    <xf numFmtId="3" fontId="18" fillId="0" borderId="0" xfId="3" applyNumberFormat="1" applyFont="1" applyAlignment="1">
      <alignment horizontal="center"/>
    </xf>
    <xf numFmtId="0" fontId="18" fillId="0" borderId="0" xfId="3" applyFont="1" applyAlignment="1">
      <alignment horizontal="center"/>
    </xf>
    <xf numFmtId="0" fontId="18" fillId="0" borderId="0" xfId="3" applyFont="1"/>
    <xf numFmtId="170" fontId="18" fillId="0" borderId="0" xfId="3" applyNumberFormat="1" applyFont="1" applyAlignment="1">
      <alignment horizontal="center"/>
    </xf>
    <xf numFmtId="1" fontId="18" fillId="0" borderId="0" xfId="3" applyNumberFormat="1" applyFont="1" applyAlignment="1">
      <alignment horizontal="right"/>
    </xf>
    <xf numFmtId="0" fontId="18" fillId="0" borderId="0" xfId="3" applyFont="1" applyAlignment="1">
      <alignment horizontal="right"/>
    </xf>
    <xf numFmtId="170" fontId="18" fillId="0" borderId="0" xfId="3" quotePrefix="1" applyNumberFormat="1" applyFont="1" applyAlignment="1">
      <alignment horizontal="center"/>
    </xf>
    <xf numFmtId="169" fontId="18" fillId="0" borderId="0" xfId="3" quotePrefix="1" applyNumberFormat="1" applyFont="1" applyAlignment="1">
      <alignment horizontal="center"/>
    </xf>
    <xf numFmtId="1" fontId="7" fillId="0" borderId="0" xfId="3" applyNumberFormat="1" applyAlignment="1">
      <alignment horizontal="center"/>
    </xf>
    <xf numFmtId="10" fontId="7" fillId="0" borderId="0" xfId="3" applyNumberFormat="1" applyAlignment="1">
      <alignment horizontal="center"/>
    </xf>
    <xf numFmtId="169" fontId="18" fillId="0" borderId="0" xfId="3" applyNumberFormat="1" applyFont="1" applyAlignment="1">
      <alignment horizontal="right"/>
    </xf>
    <xf numFmtId="171" fontId="18" fillId="0" borderId="0" xfId="3" applyNumberFormat="1" applyFont="1" applyAlignment="1">
      <alignment horizontal="center"/>
    </xf>
    <xf numFmtId="169" fontId="18" fillId="0" borderId="0" xfId="3" quotePrefix="1" applyNumberFormat="1" applyFont="1" applyAlignment="1">
      <alignment horizontal="right"/>
    </xf>
    <xf numFmtId="172" fontId="7" fillId="0" borderId="0" xfId="3" applyNumberFormat="1" applyAlignment="1">
      <alignment horizontal="center"/>
    </xf>
    <xf numFmtId="172" fontId="18" fillId="0" borderId="0" xfId="3" applyNumberFormat="1" applyFont="1" applyAlignment="1">
      <alignment horizontal="center"/>
    </xf>
    <xf numFmtId="172" fontId="18" fillId="0" borderId="0" xfId="3" quotePrefix="1" applyNumberFormat="1" applyFont="1" applyAlignment="1">
      <alignment horizontal="center"/>
    </xf>
    <xf numFmtId="2" fontId="7" fillId="0" borderId="0" xfId="3" applyNumberFormat="1" applyAlignment="1">
      <alignment horizontal="center"/>
    </xf>
    <xf numFmtId="2" fontId="18" fillId="0" borderId="0" xfId="3" applyNumberFormat="1" applyFont="1" applyAlignment="1">
      <alignment horizontal="center"/>
    </xf>
    <xf numFmtId="2" fontId="18" fillId="0" borderId="0" xfId="3" quotePrefix="1" applyNumberFormat="1" applyFont="1" applyAlignment="1">
      <alignment horizontal="center"/>
    </xf>
    <xf numFmtId="1" fontId="7" fillId="0" borderId="0" xfId="3" applyNumberFormat="1"/>
    <xf numFmtId="10" fontId="18" fillId="0" borderId="0" xfId="3" quotePrefix="1" applyNumberFormat="1" applyFont="1" applyAlignment="1">
      <alignment horizontal="right"/>
    </xf>
    <xf numFmtId="173" fontId="10" fillId="2" borderId="0" xfId="0" applyNumberFormat="1" applyFont="1" applyFill="1"/>
    <xf numFmtId="174" fontId="10" fillId="2" borderId="1" xfId="1" applyNumberFormat="1" applyFont="1" applyFill="1" applyBorder="1" applyAlignment="1">
      <alignment horizontal="center"/>
    </xf>
    <xf numFmtId="174" fontId="10" fillId="2" borderId="0" xfId="0" applyNumberFormat="1" applyFont="1" applyFill="1"/>
    <xf numFmtId="175" fontId="10" fillId="2" borderId="1" xfId="0" applyNumberFormat="1" applyFont="1" applyFill="1" applyBorder="1" applyAlignment="1">
      <alignment horizontal="center"/>
    </xf>
    <xf numFmtId="174" fontId="10" fillId="2" borderId="1" xfId="0" applyNumberFormat="1" applyFont="1" applyFill="1" applyBorder="1" applyAlignment="1">
      <alignment horizontal="center"/>
    </xf>
    <xf numFmtId="3" fontId="10" fillId="2" borderId="1" xfId="1" applyNumberFormat="1" applyFont="1" applyFill="1" applyBorder="1" applyAlignment="1">
      <alignment horizontal="center"/>
    </xf>
    <xf numFmtId="176" fontId="10" fillId="2" borderId="1" xfId="1" applyNumberFormat="1" applyFont="1" applyFill="1" applyBorder="1" applyAlignment="1">
      <alignment horizontal="center"/>
    </xf>
    <xf numFmtId="0" fontId="0" fillId="2" borderId="0" xfId="0" quotePrefix="1" applyFill="1" applyAlignment="1">
      <alignment horizontal="fill"/>
    </xf>
    <xf numFmtId="1" fontId="6" fillId="0" borderId="0" xfId="3" applyNumberFormat="1" applyFont="1" applyAlignment="1">
      <alignment horizontal="center"/>
    </xf>
    <xf numFmtId="165" fontId="0" fillId="2" borderId="1" xfId="1" applyNumberFormat="1" applyFont="1" applyFill="1" applyBorder="1" applyAlignment="1">
      <alignment horizontal="center" textRotation="90"/>
    </xf>
    <xf numFmtId="165" fontId="0" fillId="2" borderId="1" xfId="1" quotePrefix="1" applyNumberFormat="1" applyFont="1" applyFill="1" applyBorder="1" applyAlignment="1">
      <alignment horizontal="center" textRotation="90"/>
    </xf>
    <xf numFmtId="0" fontId="14" fillId="2" borderId="0" xfId="0" applyFont="1" applyFill="1" applyAlignment="1">
      <alignment horizontal="center"/>
    </xf>
    <xf numFmtId="177" fontId="10" fillId="2" borderId="1" xfId="0" applyNumberFormat="1" applyFont="1" applyFill="1" applyBorder="1" applyAlignment="1">
      <alignment horizontal="left"/>
    </xf>
    <xf numFmtId="177" fontId="10" fillId="2" borderId="0" xfId="0" applyNumberFormat="1" applyFont="1" applyFill="1" applyAlignment="1">
      <alignment horizontal="left"/>
    </xf>
    <xf numFmtId="0" fontId="0" fillId="0" borderId="0" xfId="0" applyAlignment="1">
      <alignment horizontal="center"/>
    </xf>
    <xf numFmtId="179" fontId="7" fillId="0" borderId="0" xfId="3" applyNumberFormat="1" applyAlignment="1">
      <alignment horizontal="center"/>
    </xf>
    <xf numFmtId="1" fontId="18" fillId="0" borderId="0" xfId="3" quotePrefix="1" applyNumberFormat="1" applyFont="1" applyAlignment="1">
      <alignment horizontal="center"/>
    </xf>
    <xf numFmtId="3" fontId="10" fillId="2" borderId="1" xfId="0" applyNumberFormat="1" applyFont="1" applyFill="1" applyBorder="1" applyAlignment="1">
      <alignment horizontal="center" vertical="center"/>
    </xf>
    <xf numFmtId="3" fontId="0" fillId="2" borderId="1" xfId="0" applyNumberFormat="1" applyFill="1" applyBorder="1" applyAlignment="1">
      <alignment horizontal="center" vertical="center"/>
    </xf>
    <xf numFmtId="178" fontId="10" fillId="2" borderId="1" xfId="2" applyNumberFormat="1" applyFont="1" applyFill="1" applyBorder="1" applyAlignment="1">
      <alignment vertical="center"/>
    </xf>
    <xf numFmtId="2" fontId="10" fillId="2" borderId="0" xfId="0" applyNumberFormat="1" applyFont="1" applyFill="1" applyAlignment="1">
      <alignment horizontal="center"/>
    </xf>
    <xf numFmtId="165" fontId="10" fillId="2" borderId="0" xfId="0" applyNumberFormat="1" applyFont="1" applyFill="1" applyAlignment="1">
      <alignment horizontal="center"/>
    </xf>
    <xf numFmtId="3" fontId="0" fillId="2" borderId="0" xfId="0" applyNumberFormat="1" applyFill="1" applyAlignment="1">
      <alignment horizontal="center"/>
    </xf>
    <xf numFmtId="3" fontId="8" fillId="2" borderId="1" xfId="0" applyNumberFormat="1" applyFont="1" applyFill="1" applyBorder="1" applyAlignment="1">
      <alignment horizontal="center"/>
    </xf>
    <xf numFmtId="9" fontId="8" fillId="2" borderId="1" xfId="2" applyFont="1" applyFill="1" applyBorder="1" applyAlignment="1">
      <alignment horizontal="center"/>
    </xf>
    <xf numFmtId="170" fontId="18" fillId="0" borderId="0" xfId="3" quotePrefix="1" applyNumberFormat="1" applyFont="1" applyAlignment="1">
      <alignment horizontal="right"/>
    </xf>
    <xf numFmtId="4" fontId="7" fillId="0" borderId="0" xfId="3" applyNumberFormat="1" applyAlignment="1">
      <alignment horizontal="center"/>
    </xf>
    <xf numFmtId="3" fontId="18" fillId="0" borderId="0" xfId="3" quotePrefix="1" applyNumberFormat="1" applyFont="1" applyAlignment="1">
      <alignment horizontal="left"/>
    </xf>
    <xf numFmtId="0" fontId="18" fillId="8" borderId="6" xfId="3" applyFont="1" applyFill="1" applyBorder="1" applyAlignment="1">
      <alignment horizontal="center"/>
    </xf>
    <xf numFmtId="1" fontId="7" fillId="6" borderId="6" xfId="3" applyNumberFormat="1" applyFill="1" applyBorder="1" applyAlignment="1">
      <alignment horizontal="center"/>
    </xf>
    <xf numFmtId="1" fontId="7" fillId="9" borderId="6" xfId="3" applyNumberFormat="1" applyFill="1" applyBorder="1" applyAlignment="1">
      <alignment horizontal="center"/>
    </xf>
    <xf numFmtId="0" fontId="19" fillId="2" borderId="0" xfId="0" applyFont="1" applyFill="1"/>
    <xf numFmtId="0" fontId="19" fillId="2" borderId="0" xfId="0" applyFont="1" applyFill="1" applyAlignment="1">
      <alignment horizontal="right"/>
    </xf>
    <xf numFmtId="0" fontId="21" fillId="2" borderId="0" xfId="0" applyFont="1" applyFill="1"/>
    <xf numFmtId="2" fontId="22" fillId="2" borderId="0" xfId="0" applyNumberFormat="1" applyFont="1" applyFill="1"/>
    <xf numFmtId="3" fontId="5" fillId="0" borderId="0" xfId="3" applyNumberFormat="1" applyFont="1" applyAlignment="1">
      <alignment horizontal="center"/>
    </xf>
    <xf numFmtId="10" fontId="18" fillId="0" borderId="0" xfId="3" applyNumberFormat="1" applyFont="1" applyAlignment="1">
      <alignment horizontal="left"/>
    </xf>
    <xf numFmtId="3" fontId="20" fillId="0" borderId="0" xfId="3" applyNumberFormat="1" applyFont="1" applyAlignment="1">
      <alignment horizontal="center"/>
    </xf>
    <xf numFmtId="0" fontId="10" fillId="2" borderId="5" xfId="0" applyFont="1" applyFill="1" applyBorder="1" applyAlignment="1">
      <alignment horizontal="center" textRotation="90"/>
    </xf>
    <xf numFmtId="0" fontId="0" fillId="2" borderId="5" xfId="0" quotePrefix="1" applyFill="1" applyBorder="1" applyAlignment="1">
      <alignment horizontal="center" textRotation="90"/>
    </xf>
    <xf numFmtId="165" fontId="10" fillId="2" borderId="5" xfId="1" applyNumberFormat="1" applyFont="1" applyFill="1" applyBorder="1" applyAlignment="1">
      <alignment horizontal="center" textRotation="90"/>
    </xf>
    <xf numFmtId="4" fontId="10" fillId="2" borderId="5" xfId="0" applyNumberFormat="1" applyFont="1" applyFill="1" applyBorder="1" applyAlignment="1">
      <alignment horizontal="center" textRotation="90"/>
    </xf>
    <xf numFmtId="3" fontId="0" fillId="2" borderId="5" xfId="0" quotePrefix="1" applyNumberFormat="1" applyFill="1" applyBorder="1" applyAlignment="1">
      <alignment horizontal="center" textRotation="90"/>
    </xf>
    <xf numFmtId="44" fontId="0" fillId="2" borderId="5" xfId="1" applyFont="1" applyFill="1" applyBorder="1" applyAlignment="1">
      <alignment horizontal="center" textRotation="90"/>
    </xf>
    <xf numFmtId="0" fontId="10" fillId="2" borderId="12" xfId="0" applyFont="1" applyFill="1" applyBorder="1" applyAlignment="1">
      <alignment horizontal="center" vertical="center" wrapText="1"/>
    </xf>
    <xf numFmtId="0" fontId="0" fillId="2" borderId="13" xfId="0" quotePrefix="1" applyFill="1" applyBorder="1" applyAlignment="1">
      <alignment horizontal="center" vertical="center" wrapText="1"/>
    </xf>
    <xf numFmtId="3" fontId="10" fillId="2" borderId="13" xfId="0" applyNumberFormat="1" applyFont="1" applyFill="1" applyBorder="1" applyAlignment="1">
      <alignment horizontal="center" vertical="center" wrapText="1"/>
    </xf>
    <xf numFmtId="44" fontId="10" fillId="2" borderId="13" xfId="1" applyFont="1" applyFill="1" applyBorder="1" applyAlignment="1">
      <alignment horizontal="center" vertical="center" wrapText="1"/>
    </xf>
    <xf numFmtId="0" fontId="10" fillId="2" borderId="11" xfId="0" applyFont="1" applyFill="1" applyBorder="1" applyAlignment="1">
      <alignment vertical="center" wrapText="1"/>
    </xf>
    <xf numFmtId="165" fontId="10" fillId="2" borderId="13" xfId="1" applyNumberFormat="1" applyFont="1" applyFill="1" applyBorder="1" applyAlignment="1">
      <alignment horizontal="center" vertical="center" wrapText="1"/>
    </xf>
    <xf numFmtId="0" fontId="10" fillId="2" borderId="13" xfId="0" applyFont="1" applyFill="1" applyBorder="1" applyAlignment="1">
      <alignment horizontal="center" vertical="center" wrapText="1"/>
    </xf>
    <xf numFmtId="4" fontId="10" fillId="2" borderId="13" xfId="0" applyNumberFormat="1" applyFont="1" applyFill="1" applyBorder="1" applyAlignment="1">
      <alignment horizontal="center" vertical="center" wrapText="1"/>
    </xf>
    <xf numFmtId="3" fontId="0" fillId="2" borderId="13" xfId="0" quotePrefix="1" applyNumberFormat="1" applyFill="1" applyBorder="1" applyAlignment="1">
      <alignment horizontal="center" vertical="center" wrapText="1"/>
    </xf>
    <xf numFmtId="44" fontId="0" fillId="2" borderId="13" xfId="1" applyFont="1" applyFill="1" applyBorder="1" applyAlignment="1">
      <alignment horizontal="center" vertical="center" wrapText="1"/>
    </xf>
    <xf numFmtId="170" fontId="18" fillId="0" borderId="0" xfId="3" applyNumberFormat="1" applyFont="1" applyAlignment="1">
      <alignment horizontal="right"/>
    </xf>
    <xf numFmtId="0" fontId="21" fillId="2" borderId="0" xfId="0" quotePrefix="1" applyFont="1" applyFill="1" applyAlignment="1">
      <alignment horizontal="left"/>
    </xf>
    <xf numFmtId="0" fontId="21" fillId="2" borderId="0" xfId="0" applyFont="1" applyFill="1" applyAlignment="1">
      <alignment vertical="center"/>
    </xf>
    <xf numFmtId="172" fontId="22" fillId="2" borderId="0" xfId="0" applyNumberFormat="1" applyFont="1" applyFill="1"/>
    <xf numFmtId="172" fontId="22" fillId="2" borderId="0" xfId="0" applyNumberFormat="1" applyFont="1" applyFill="1" applyAlignment="1">
      <alignment horizontal="left"/>
    </xf>
    <xf numFmtId="44" fontId="0" fillId="2" borderId="5" xfId="1" quotePrefix="1" applyFont="1" applyFill="1" applyBorder="1" applyAlignment="1">
      <alignment horizontal="center" textRotation="90"/>
    </xf>
    <xf numFmtId="3" fontId="0" fillId="2" borderId="5" xfId="0" applyNumberFormat="1" applyFill="1" applyBorder="1" applyAlignment="1">
      <alignment horizontal="center" textRotation="90"/>
    </xf>
    <xf numFmtId="44" fontId="0" fillId="2" borderId="5" xfId="1" quotePrefix="1" applyFont="1" applyFill="1" applyBorder="1" applyAlignment="1">
      <alignment horizontal="center" textRotation="90" wrapText="1"/>
    </xf>
    <xf numFmtId="44" fontId="0" fillId="2" borderId="13" xfId="1" quotePrefix="1" applyFont="1" applyFill="1" applyBorder="1" applyAlignment="1">
      <alignment horizontal="center" vertical="center" wrapText="1"/>
    </xf>
    <xf numFmtId="5" fontId="10" fillId="2" borderId="0" xfId="0" applyNumberFormat="1" applyFont="1" applyFill="1"/>
    <xf numFmtId="10" fontId="7" fillId="8" borderId="0" xfId="3" applyNumberFormat="1" applyFill="1" applyAlignment="1" applyProtection="1">
      <alignment horizontal="center"/>
      <protection locked="0"/>
    </xf>
    <xf numFmtId="3" fontId="7" fillId="8" borderId="0" xfId="3" applyNumberFormat="1" applyFill="1" applyAlignment="1" applyProtection="1">
      <alignment horizontal="center"/>
      <protection locked="0"/>
    </xf>
    <xf numFmtId="0" fontId="7" fillId="0" borderId="0" xfId="3" applyProtection="1">
      <protection locked="0"/>
    </xf>
    <xf numFmtId="169" fontId="7" fillId="8" borderId="0" xfId="3" applyNumberFormat="1" applyFill="1" applyAlignment="1" applyProtection="1">
      <alignment horizontal="center"/>
      <protection locked="0"/>
    </xf>
    <xf numFmtId="2" fontId="7" fillId="8" borderId="0" xfId="3" applyNumberFormat="1" applyFill="1" applyAlignment="1" applyProtection="1">
      <alignment horizontal="center"/>
      <protection locked="0"/>
    </xf>
    <xf numFmtId="170" fontId="7" fillId="8" borderId="0" xfId="3" applyNumberFormat="1" applyFill="1" applyAlignment="1" applyProtection="1">
      <alignment horizontal="center"/>
      <protection locked="0"/>
    </xf>
    <xf numFmtId="168" fontId="7" fillId="8" borderId="0" xfId="3" applyNumberFormat="1" applyFill="1" applyAlignment="1" applyProtection="1">
      <alignment horizontal="center"/>
      <protection locked="0"/>
    </xf>
    <xf numFmtId="10" fontId="7" fillId="0" borderId="0" xfId="3" applyNumberFormat="1" applyAlignment="1" applyProtection="1">
      <alignment horizontal="center"/>
      <protection locked="0"/>
    </xf>
    <xf numFmtId="3" fontId="7" fillId="0" borderId="0" xfId="3" applyNumberFormat="1" applyAlignment="1" applyProtection="1">
      <alignment horizontal="center"/>
      <protection locked="0"/>
    </xf>
    <xf numFmtId="169" fontId="7" fillId="0" borderId="0" xfId="3" applyNumberFormat="1" applyAlignment="1" applyProtection="1">
      <alignment horizontal="center"/>
      <protection locked="0"/>
    </xf>
    <xf numFmtId="2" fontId="7" fillId="0" borderId="0" xfId="3" applyNumberFormat="1" applyAlignment="1" applyProtection="1">
      <alignment horizontal="center"/>
      <protection locked="0"/>
    </xf>
    <xf numFmtId="170" fontId="7" fillId="0" borderId="0" xfId="3" applyNumberFormat="1" applyAlignment="1" applyProtection="1">
      <alignment horizontal="center"/>
      <protection locked="0"/>
    </xf>
    <xf numFmtId="4" fontId="7" fillId="0" borderId="0" xfId="3" applyNumberFormat="1" applyAlignment="1" applyProtection="1">
      <alignment horizontal="center"/>
      <protection locked="0"/>
    </xf>
    <xf numFmtId="180" fontId="7" fillId="0" borderId="0" xfId="3" applyNumberFormat="1" applyAlignment="1" applyProtection="1">
      <alignment horizontal="center"/>
      <protection locked="0"/>
    </xf>
    <xf numFmtId="175" fontId="7" fillId="0" borderId="0" xfId="3" applyNumberFormat="1" applyAlignment="1" applyProtection="1">
      <alignment horizontal="center"/>
      <protection locked="0"/>
    </xf>
    <xf numFmtId="1" fontId="10" fillId="2" borderId="0" xfId="0" applyNumberFormat="1" applyFont="1" applyFill="1" applyAlignment="1">
      <alignment horizontal="center"/>
    </xf>
    <xf numFmtId="9" fontId="10" fillId="2" borderId="0" xfId="0" applyNumberFormat="1" applyFont="1" applyFill="1" applyAlignment="1">
      <alignment horizontal="center"/>
    </xf>
    <xf numFmtId="3" fontId="7" fillId="0" borderId="0" xfId="3" applyNumberFormat="1" applyAlignment="1">
      <alignment horizontal="right"/>
    </xf>
    <xf numFmtId="0" fontId="7" fillId="0" borderId="0" xfId="3" applyAlignment="1">
      <alignment horizontal="right"/>
    </xf>
    <xf numFmtId="0" fontId="23" fillId="0" borderId="0" xfId="0" applyFont="1" applyAlignment="1">
      <alignment horizontal="right"/>
    </xf>
    <xf numFmtId="0" fontId="0" fillId="0" borderId="0" xfId="0" applyAlignment="1">
      <alignment horizontal="right"/>
    </xf>
    <xf numFmtId="0" fontId="0" fillId="0" borderId="0" xfId="0" quotePrefix="1" applyAlignment="1">
      <alignment horizontal="fill"/>
    </xf>
    <xf numFmtId="3" fontId="0" fillId="0" borderId="0" xfId="0" applyNumberFormat="1"/>
    <xf numFmtId="0" fontId="0" fillId="0" borderId="0" xfId="0" quotePrefix="1" applyAlignment="1">
      <alignment horizontal="left"/>
    </xf>
    <xf numFmtId="3" fontId="4" fillId="0" borderId="0" xfId="4" applyNumberFormat="1"/>
    <xf numFmtId="4" fontId="4" fillId="0" borderId="0" xfId="4" applyNumberFormat="1"/>
    <xf numFmtId="178" fontId="4" fillId="0" borderId="0" xfId="4" applyNumberFormat="1"/>
    <xf numFmtId="175" fontId="4" fillId="0" borderId="0" xfId="4" applyNumberFormat="1"/>
    <xf numFmtId="9" fontId="4" fillId="0" borderId="0" xfId="4" applyNumberFormat="1"/>
    <xf numFmtId="3" fontId="18" fillId="0" borderId="0" xfId="4" applyNumberFormat="1" applyFont="1" applyAlignment="1">
      <alignment horizontal="right"/>
    </xf>
    <xf numFmtId="182" fontId="4" fillId="0" borderId="0" xfId="4" applyNumberFormat="1"/>
    <xf numFmtId="10" fontId="4" fillId="0" borderId="0" xfId="4" applyNumberFormat="1"/>
    <xf numFmtId="182" fontId="10" fillId="2" borderId="1" xfId="2" applyNumberFormat="1" applyFont="1" applyFill="1" applyBorder="1" applyAlignment="1">
      <alignment horizontal="center"/>
    </xf>
    <xf numFmtId="182" fontId="10" fillId="2" borderId="0" xfId="0" applyNumberFormat="1" applyFont="1" applyFill="1"/>
    <xf numFmtId="3" fontId="4" fillId="0" borderId="0" xfId="4" quotePrefix="1" applyNumberFormat="1" applyAlignment="1">
      <alignment horizontal="left"/>
    </xf>
    <xf numFmtId="0" fontId="21" fillId="2" borderId="0" xfId="0" applyFont="1" applyFill="1" applyAlignment="1">
      <alignment horizontal="left"/>
    </xf>
    <xf numFmtId="0" fontId="24" fillId="0" borderId="0" xfId="0" applyFont="1"/>
    <xf numFmtId="42" fontId="10" fillId="2" borderId="1" xfId="1" applyNumberFormat="1" applyFont="1" applyFill="1" applyBorder="1" applyAlignment="1">
      <alignment horizontal="center"/>
    </xf>
    <xf numFmtId="177" fontId="10" fillId="6" borderId="1" xfId="0" applyNumberFormat="1" applyFont="1" applyFill="1" applyBorder="1" applyAlignment="1">
      <alignment horizontal="left"/>
    </xf>
    <xf numFmtId="0" fontId="10" fillId="6" borderId="0" xfId="0" applyFont="1" applyFill="1"/>
    <xf numFmtId="44" fontId="10" fillId="6" borderId="1" xfId="1" applyFont="1" applyFill="1" applyBorder="1" applyAlignment="1">
      <alignment horizontal="center"/>
    </xf>
    <xf numFmtId="165" fontId="10" fillId="6" borderId="1" xfId="1" applyNumberFormat="1" applyFont="1" applyFill="1" applyBorder="1" applyAlignment="1">
      <alignment horizontal="center"/>
    </xf>
    <xf numFmtId="42" fontId="10" fillId="6" borderId="1" xfId="1" applyNumberFormat="1" applyFont="1" applyFill="1" applyBorder="1" applyAlignment="1">
      <alignment horizontal="center"/>
    </xf>
    <xf numFmtId="0" fontId="0" fillId="6" borderId="0" xfId="0" applyFill="1"/>
    <xf numFmtId="10" fontId="4" fillId="0" borderId="0" xfId="3" applyNumberFormat="1" applyFont="1" applyAlignment="1">
      <alignment horizontal="left"/>
    </xf>
    <xf numFmtId="0" fontId="9" fillId="6" borderId="0" xfId="0" applyFont="1" applyFill="1"/>
    <xf numFmtId="0" fontId="4" fillId="0" borderId="0" xfId="4"/>
    <xf numFmtId="3" fontId="10" fillId="2" borderId="15" xfId="0" applyNumberFormat="1" applyFont="1" applyFill="1" applyBorder="1" applyAlignment="1">
      <alignment horizontal="center" vertical="center" wrapText="1"/>
    </xf>
    <xf numFmtId="3" fontId="18" fillId="0" borderId="0" xfId="3" applyNumberFormat="1" applyFont="1" applyAlignment="1">
      <alignment horizontal="right"/>
    </xf>
    <xf numFmtId="3" fontId="18" fillId="0" borderId="0" xfId="3" quotePrefix="1" applyNumberFormat="1" applyFont="1" applyAlignment="1">
      <alignment horizontal="right"/>
    </xf>
    <xf numFmtId="0" fontId="18" fillId="0" borderId="0" xfId="3" quotePrefix="1" applyFont="1" applyAlignment="1">
      <alignment horizontal="right"/>
    </xf>
    <xf numFmtId="0" fontId="0" fillId="10" borderId="0" xfId="0" applyFill="1"/>
    <xf numFmtId="0" fontId="23" fillId="0" borderId="0" xfId="0" quotePrefix="1" applyFont="1" applyAlignment="1">
      <alignment horizontal="right"/>
    </xf>
    <xf numFmtId="0" fontId="25" fillId="0" borderId="0" xfId="0" applyFont="1"/>
    <xf numFmtId="172" fontId="7" fillId="11" borderId="0" xfId="3" applyNumberFormat="1" applyFill="1" applyAlignment="1">
      <alignment horizontal="center"/>
    </xf>
    <xf numFmtId="0" fontId="7" fillId="11" borderId="0" xfId="3" applyFill="1"/>
    <xf numFmtId="2" fontId="4" fillId="11" borderId="0" xfId="3" applyNumberFormat="1" applyFont="1" applyFill="1" applyAlignment="1">
      <alignment horizontal="center"/>
    </xf>
    <xf numFmtId="10" fontId="7" fillId="11" borderId="0" xfId="3" applyNumberFormat="1" applyFill="1" applyAlignment="1">
      <alignment horizontal="center"/>
    </xf>
    <xf numFmtId="170" fontId="7" fillId="11" borderId="0" xfId="3" applyNumberFormat="1" applyFill="1" applyAlignment="1" applyProtection="1">
      <alignment horizontal="center"/>
      <protection locked="0"/>
    </xf>
    <xf numFmtId="0" fontId="26" fillId="5" borderId="0" xfId="0" applyFont="1" applyFill="1"/>
    <xf numFmtId="0" fontId="0" fillId="5" borderId="0" xfId="0" applyFill="1"/>
    <xf numFmtId="168" fontId="0" fillId="2" borderId="0" xfId="0" applyNumberFormat="1" applyFill="1"/>
    <xf numFmtId="0" fontId="23" fillId="5" borderId="0" xfId="0" applyFont="1" applyFill="1"/>
    <xf numFmtId="44" fontId="0" fillId="5" borderId="0" xfId="1" applyFont="1" applyFill="1"/>
    <xf numFmtId="0" fontId="23" fillId="5" borderId="0" xfId="0" quotePrefix="1" applyFont="1" applyFill="1" applyAlignment="1">
      <alignment horizontal="left"/>
    </xf>
    <xf numFmtId="0" fontId="0" fillId="2" borderId="0" xfId="0" applyFill="1" applyAlignment="1">
      <alignment horizontal="center"/>
    </xf>
    <xf numFmtId="0" fontId="24" fillId="5" borderId="0" xfId="0" quotePrefix="1" applyFont="1" applyFill="1" applyAlignment="1">
      <alignment horizontal="right"/>
    </xf>
    <xf numFmtId="4" fontId="0" fillId="2" borderId="1" xfId="0" applyNumberFormat="1" applyFill="1" applyBorder="1" applyAlignment="1">
      <alignment horizontal="center"/>
    </xf>
    <xf numFmtId="9" fontId="10" fillId="2" borderId="0" xfId="0" applyNumberFormat="1" applyFont="1" applyFill="1"/>
    <xf numFmtId="0" fontId="0" fillId="5" borderId="0" xfId="0" quotePrefix="1" applyFill="1" applyAlignment="1">
      <alignment horizontal="left"/>
    </xf>
    <xf numFmtId="3" fontId="0" fillId="2" borderId="0" xfId="0" applyNumberFormat="1" applyFill="1" applyAlignment="1">
      <alignment horizontal="left"/>
    </xf>
    <xf numFmtId="3" fontId="10" fillId="6" borderId="0" xfId="0" applyNumberFormat="1" applyFont="1" applyFill="1" applyAlignment="1">
      <alignment horizontal="center"/>
    </xf>
    <xf numFmtId="3" fontId="10" fillId="6" borderId="15" xfId="0" applyNumberFormat="1" applyFont="1" applyFill="1" applyBorder="1" applyAlignment="1">
      <alignment horizontal="center" vertical="center" wrapText="1"/>
    </xf>
    <xf numFmtId="3" fontId="10" fillId="6" borderId="13" xfId="0" applyNumberFormat="1" applyFont="1" applyFill="1" applyBorder="1" applyAlignment="1">
      <alignment horizontal="center" vertical="center" wrapText="1"/>
    </xf>
    <xf numFmtId="3" fontId="10" fillId="6" borderId="5" xfId="0" applyNumberFormat="1" applyFont="1" applyFill="1" applyBorder="1" applyAlignment="1">
      <alignment horizontal="center" textRotation="90"/>
    </xf>
    <xf numFmtId="4" fontId="0" fillId="6" borderId="1" xfId="0" applyNumberFormat="1" applyFill="1" applyBorder="1" applyAlignment="1">
      <alignment horizontal="center"/>
    </xf>
    <xf numFmtId="3" fontId="10" fillId="6" borderId="0" xfId="0" applyNumberFormat="1" applyFont="1" applyFill="1" applyAlignment="1">
      <alignment horizontal="left"/>
    </xf>
    <xf numFmtId="3" fontId="8" fillId="6" borderId="1" xfId="0" applyNumberFormat="1" applyFont="1" applyFill="1" applyBorder="1" applyAlignment="1">
      <alignment horizontal="center"/>
    </xf>
    <xf numFmtId="3" fontId="18" fillId="0" borderId="0" xfId="4" applyNumberFormat="1" applyFont="1"/>
    <xf numFmtId="2" fontId="4" fillId="0" borderId="0" xfId="4" applyNumberFormat="1"/>
    <xf numFmtId="0" fontId="3" fillId="0" borderId="0" xfId="3" applyFont="1"/>
    <xf numFmtId="0" fontId="2" fillId="0" borderId="0" xfId="3" applyFont="1" applyAlignment="1">
      <alignment horizontal="left"/>
    </xf>
    <xf numFmtId="2" fontId="18" fillId="0" borderId="0" xfId="3" applyNumberFormat="1" applyFont="1" applyAlignment="1">
      <alignment horizontal="left"/>
    </xf>
    <xf numFmtId="0" fontId="18" fillId="8" borderId="0" xfId="3" applyFont="1" applyFill="1" applyAlignment="1">
      <alignment horizontal="center"/>
    </xf>
    <xf numFmtId="1" fontId="7" fillId="6" borderId="0" xfId="3" applyNumberFormat="1" applyFill="1" applyAlignment="1">
      <alignment horizontal="center"/>
    </xf>
    <xf numFmtId="1" fontId="7" fillId="9" borderId="0" xfId="3" applyNumberFormat="1" applyFill="1" applyAlignment="1">
      <alignment horizontal="center"/>
    </xf>
    <xf numFmtId="2" fontId="18" fillId="0" borderId="0" xfId="3" applyNumberFormat="1" applyFont="1" applyAlignment="1">
      <alignment horizontal="right"/>
    </xf>
    <xf numFmtId="0" fontId="27" fillId="2" borderId="0" xfId="0" applyFont="1" applyFill="1"/>
    <xf numFmtId="0" fontId="28" fillId="2" borderId="0" xfId="0" applyFont="1" applyFill="1"/>
    <xf numFmtId="0" fontId="29" fillId="2" borderId="0" xfId="0" applyFont="1" applyFill="1"/>
    <xf numFmtId="0" fontId="30" fillId="4" borderId="0" xfId="0" applyFont="1" applyFill="1"/>
    <xf numFmtId="0" fontId="27" fillId="4" borderId="0" xfId="0" applyFont="1" applyFill="1"/>
    <xf numFmtId="0" fontId="31" fillId="2" borderId="0" xfId="0" applyFont="1" applyFill="1"/>
    <xf numFmtId="0" fontId="27" fillId="2" borderId="0" xfId="0" applyFont="1" applyFill="1" applyAlignment="1">
      <alignment horizontal="right"/>
    </xf>
    <xf numFmtId="0" fontId="32" fillId="2" borderId="0" xfId="0" quotePrefix="1" applyFont="1" applyFill="1" applyAlignment="1">
      <alignment horizontal="left"/>
    </xf>
    <xf numFmtId="0" fontId="27" fillId="2" borderId="0" xfId="0" quotePrefix="1" applyFont="1" applyFill="1" applyAlignment="1">
      <alignment horizontal="left"/>
    </xf>
    <xf numFmtId="0" fontId="27" fillId="2" borderId="0" xfId="0" applyFont="1" applyFill="1" applyAlignment="1">
      <alignment horizontal="left"/>
    </xf>
    <xf numFmtId="0" fontId="27" fillId="2" borderId="0" xfId="0" applyFont="1" applyFill="1" applyAlignment="1">
      <alignment horizontal="left" vertical="top"/>
    </xf>
    <xf numFmtId="0" fontId="33" fillId="2" borderId="0" xfId="0" applyFont="1" applyFill="1"/>
    <xf numFmtId="0" fontId="27" fillId="2" borderId="0" xfId="0" applyFont="1" applyFill="1" applyAlignment="1">
      <alignment horizontal="left" vertical="top" wrapText="1"/>
    </xf>
    <xf numFmtId="0" fontId="34" fillId="2" borderId="0" xfId="0" applyFont="1" applyFill="1"/>
    <xf numFmtId="0" fontId="36" fillId="4" borderId="0" xfId="0" applyFont="1" applyFill="1"/>
    <xf numFmtId="0" fontId="29" fillId="4" borderId="0" xfId="0" applyFont="1" applyFill="1"/>
    <xf numFmtId="0" fontId="37" fillId="4" borderId="0" xfId="0" applyFont="1" applyFill="1"/>
    <xf numFmtId="0" fontId="38" fillId="2" borderId="0" xfId="0" applyFont="1" applyFill="1"/>
    <xf numFmtId="3" fontId="27" fillId="2" borderId="0" xfId="0" applyNumberFormat="1" applyFont="1" applyFill="1" applyAlignment="1">
      <alignment horizontal="right"/>
    </xf>
    <xf numFmtId="166" fontId="27" fillId="2" borderId="0" xfId="0" applyNumberFormat="1" applyFont="1" applyFill="1"/>
    <xf numFmtId="0" fontId="30" fillId="2" borderId="0" xfId="0" applyFont="1" applyFill="1"/>
    <xf numFmtId="0" fontId="27" fillId="3" borderId="0" xfId="0" applyFont="1" applyFill="1" applyProtection="1">
      <protection locked="0"/>
    </xf>
    <xf numFmtId="0" fontId="39" fillId="2" borderId="0" xfId="0" applyFont="1" applyFill="1" applyAlignment="1">
      <alignment horizontal="left"/>
    </xf>
    <xf numFmtId="0" fontId="40" fillId="2" borderId="0" xfId="0" applyFont="1" applyFill="1"/>
    <xf numFmtId="9" fontId="40" fillId="2" borderId="0" xfId="2" applyFont="1" applyFill="1" applyAlignment="1" applyProtection="1"/>
    <xf numFmtId="9" fontId="27" fillId="3" borderId="0" xfId="0" applyNumberFormat="1" applyFont="1" applyFill="1" applyProtection="1">
      <protection locked="0"/>
    </xf>
    <xf numFmtId="3" fontId="27" fillId="2" borderId="0" xfId="0" applyNumberFormat="1" applyFont="1" applyFill="1"/>
    <xf numFmtId="0" fontId="39" fillId="2" borderId="0" xfId="0" applyFont="1" applyFill="1"/>
    <xf numFmtId="0" fontId="27" fillId="3" borderId="0" xfId="0" applyFont="1" applyFill="1"/>
    <xf numFmtId="0" fontId="28" fillId="3" borderId="0" xfId="0" applyFont="1" applyFill="1"/>
    <xf numFmtId="0" fontId="39" fillId="3" borderId="0" xfId="0" applyFont="1" applyFill="1"/>
    <xf numFmtId="3" fontId="39" fillId="3" borderId="0" xfId="0" applyNumberFormat="1" applyFont="1" applyFill="1"/>
    <xf numFmtId="0" fontId="39" fillId="3" borderId="0" xfId="0" applyFont="1" applyFill="1" applyAlignment="1">
      <alignment horizontal="left"/>
    </xf>
    <xf numFmtId="0" fontId="29" fillId="3" borderId="0" xfId="0" applyFont="1" applyFill="1"/>
    <xf numFmtId="0" fontId="38" fillId="3" borderId="0" xfId="0" applyFont="1" applyFill="1"/>
    <xf numFmtId="0" fontId="27" fillId="3" borderId="0" xfId="0" applyFont="1" applyFill="1" applyAlignment="1">
      <alignment horizontal="right"/>
    </xf>
    <xf numFmtId="3" fontId="27" fillId="3" borderId="0" xfId="0" applyNumberFormat="1" applyFont="1" applyFill="1" applyAlignment="1">
      <alignment horizontal="right"/>
    </xf>
    <xf numFmtId="3" fontId="27" fillId="3" borderId="0" xfId="0" applyNumberFormat="1" applyFont="1" applyFill="1"/>
    <xf numFmtId="0" fontId="34" fillId="3" borderId="0" xfId="0" applyFont="1" applyFill="1"/>
    <xf numFmtId="0" fontId="27" fillId="3" borderId="0" xfId="0" quotePrefix="1" applyFont="1" applyFill="1" applyAlignment="1">
      <alignment horizontal="left"/>
    </xf>
    <xf numFmtId="0" fontId="34" fillId="3" borderId="0" xfId="0" applyFont="1" applyFill="1" applyAlignment="1">
      <alignment horizontal="left"/>
    </xf>
    <xf numFmtId="166" fontId="27" fillId="3" borderId="0" xfId="0" applyNumberFormat="1" applyFont="1" applyFill="1"/>
    <xf numFmtId="167" fontId="27" fillId="3" borderId="0" xfId="0" applyNumberFormat="1" applyFont="1" applyFill="1" applyAlignment="1">
      <alignment horizontal="right"/>
    </xf>
    <xf numFmtId="0" fontId="27" fillId="3" borderId="0" xfId="0" applyFont="1" applyFill="1" applyAlignment="1">
      <alignment horizontal="left"/>
    </xf>
    <xf numFmtId="0" fontId="37" fillId="3" borderId="0" xfId="0" applyFont="1" applyFill="1"/>
    <xf numFmtId="0" fontId="41" fillId="4" borderId="0" xfId="0" applyFont="1" applyFill="1"/>
    <xf numFmtId="0" fontId="28" fillId="2" borderId="0" xfId="0" applyFont="1" applyFill="1" applyAlignment="1">
      <alignment horizontal="right"/>
    </xf>
    <xf numFmtId="0" fontId="42" fillId="4" borderId="0" xfId="0" applyFont="1" applyFill="1"/>
    <xf numFmtId="0" fontId="43" fillId="4" borderId="0" xfId="0" applyFont="1" applyFill="1"/>
    <xf numFmtId="0" fontId="32" fillId="4" borderId="0" xfId="0" applyFont="1" applyFill="1"/>
    <xf numFmtId="0" fontId="32" fillId="2" borderId="0" xfId="0" applyFont="1" applyFill="1"/>
    <xf numFmtId="0" fontId="27" fillId="2" borderId="0" xfId="0" quotePrefix="1" applyFont="1" applyFill="1" applyAlignment="1">
      <alignment horizontal="left" vertical="top"/>
    </xf>
    <xf numFmtId="0" fontId="27" fillId="2" borderId="0" xfId="0" applyFont="1" applyFill="1" applyAlignment="1">
      <alignment vertical="top"/>
    </xf>
    <xf numFmtId="2" fontId="29" fillId="2" borderId="0" xfId="0" applyNumberFormat="1" applyFont="1" applyFill="1"/>
    <xf numFmtId="0" fontId="38" fillId="2" borderId="0" xfId="0" applyFont="1" applyFill="1" applyAlignment="1">
      <alignment horizontal="center" vertical="center"/>
    </xf>
    <xf numFmtId="0" fontId="34" fillId="2" borderId="0" xfId="0" applyFont="1" applyFill="1" applyAlignment="1">
      <alignment vertical="top"/>
    </xf>
    <xf numFmtId="2" fontId="27" fillId="2" borderId="0" xfId="0" applyNumberFormat="1" applyFont="1" applyFill="1"/>
    <xf numFmtId="9" fontId="27" fillId="3" borderId="0" xfId="2" applyFont="1" applyFill="1" applyProtection="1">
      <protection locked="0"/>
    </xf>
    <xf numFmtId="0" fontId="27" fillId="12" borderId="0" xfId="0" applyFont="1" applyFill="1"/>
    <xf numFmtId="0" fontId="29" fillId="12" borderId="0" xfId="0" applyFont="1" applyFill="1"/>
    <xf numFmtId="0" fontId="30" fillId="12" borderId="0" xfId="0" applyFont="1" applyFill="1"/>
    <xf numFmtId="9" fontId="29" fillId="12" borderId="0" xfId="0" applyNumberFormat="1" applyFont="1" applyFill="1"/>
    <xf numFmtId="0" fontId="27" fillId="2" borderId="0" xfId="0" applyFont="1" applyFill="1" applyAlignment="1">
      <alignment vertical="center"/>
    </xf>
    <xf numFmtId="0" fontId="34" fillId="2" borderId="0" xfId="0" applyFont="1" applyFill="1" applyAlignment="1">
      <alignment vertical="center"/>
    </xf>
    <xf numFmtId="0" fontId="27" fillId="2" borderId="0" xfId="0" quotePrefix="1" applyFont="1" applyFill="1" applyAlignment="1">
      <alignment horizontal="left" vertical="center"/>
    </xf>
    <xf numFmtId="0" fontId="28" fillId="2" borderId="0" xfId="0" applyFont="1" applyFill="1" applyAlignment="1">
      <alignment vertical="center"/>
    </xf>
    <xf numFmtId="0" fontId="37" fillId="4" borderId="0" xfId="0" applyFont="1" applyFill="1" applyAlignment="1">
      <alignment vertical="center"/>
    </xf>
    <xf numFmtId="0" fontId="29" fillId="4" borderId="0" xfId="0" applyFont="1" applyFill="1" applyAlignment="1">
      <alignment vertical="center"/>
    </xf>
    <xf numFmtId="0" fontId="27" fillId="4" borderId="0" xfId="0" applyFont="1" applyFill="1" applyAlignment="1">
      <alignment vertical="center"/>
    </xf>
    <xf numFmtId="0" fontId="30" fillId="4" borderId="0" xfId="0" applyFont="1" applyFill="1" applyAlignment="1">
      <alignment vertical="center"/>
    </xf>
    <xf numFmtId="4" fontId="27" fillId="2" borderId="0" xfId="0" applyNumberFormat="1" applyFont="1" applyFill="1" applyAlignment="1">
      <alignment horizontal="right"/>
    </xf>
    <xf numFmtId="0" fontId="27" fillId="2" borderId="0" xfId="0" applyFont="1" applyFill="1" applyAlignment="1">
      <alignment horizontal="left" vertical="center"/>
    </xf>
    <xf numFmtId="2" fontId="42" fillId="4" borderId="0" xfId="0" applyNumberFormat="1" applyFont="1" applyFill="1"/>
    <xf numFmtId="2" fontId="32" fillId="4" borderId="0" xfId="0" applyNumberFormat="1" applyFont="1" applyFill="1"/>
    <xf numFmtId="167" fontId="27" fillId="2" borderId="0" xfId="0" applyNumberFormat="1" applyFont="1" applyFill="1" applyAlignment="1">
      <alignment horizontal="right"/>
    </xf>
    <xf numFmtId="167" fontId="28" fillId="2" borderId="0" xfId="0" applyNumberFormat="1" applyFont="1" applyFill="1"/>
    <xf numFmtId="0" fontId="29" fillId="2" borderId="0" xfId="0" applyFont="1" applyFill="1" applyAlignment="1">
      <alignment vertical="center"/>
    </xf>
    <xf numFmtId="167" fontId="27" fillId="2" borderId="0" xfId="0" applyNumberFormat="1" applyFont="1" applyFill="1" applyAlignment="1">
      <alignment horizontal="right" vertical="center"/>
    </xf>
    <xf numFmtId="0" fontId="47" fillId="4" borderId="0" xfId="0" applyFont="1" applyFill="1"/>
    <xf numFmtId="0" fontId="48" fillId="4" borderId="0" xfId="0" applyFont="1" applyFill="1"/>
    <xf numFmtId="0" fontId="39" fillId="3" borderId="0" xfId="0" applyFont="1" applyFill="1" applyAlignment="1">
      <alignment horizontal="right"/>
    </xf>
    <xf numFmtId="3" fontId="39" fillId="3" borderId="0" xfId="0" applyNumberFormat="1" applyFont="1" applyFill="1" applyAlignment="1">
      <alignment horizontal="right"/>
    </xf>
    <xf numFmtId="0" fontId="33" fillId="2" borderId="0" xfId="0" quotePrefix="1" applyFont="1" applyFill="1" applyAlignment="1">
      <alignment horizontal="left"/>
    </xf>
    <xf numFmtId="0" fontId="49" fillId="2" borderId="0" xfId="0" applyFont="1" applyFill="1"/>
    <xf numFmtId="167" fontId="49" fillId="2" borderId="0" xfId="0" applyNumberFormat="1" applyFont="1" applyFill="1"/>
    <xf numFmtId="0" fontId="50" fillId="2" borderId="0" xfId="0" applyFont="1" applyFill="1"/>
    <xf numFmtId="3" fontId="50" fillId="2" borderId="0" xfId="0" applyNumberFormat="1" applyFont="1" applyFill="1"/>
    <xf numFmtId="167" fontId="51" fillId="2" borderId="0" xfId="0" applyNumberFormat="1" applyFont="1" applyFill="1"/>
    <xf numFmtId="0" fontId="52" fillId="4" borderId="0" xfId="0" applyFont="1" applyFill="1"/>
    <xf numFmtId="0" fontId="34" fillId="4" borderId="0" xfId="0" applyFont="1" applyFill="1"/>
    <xf numFmtId="0" fontId="53" fillId="2" borderId="0" xfId="0" applyFont="1" applyFill="1"/>
    <xf numFmtId="3" fontId="53" fillId="2" borderId="0" xfId="0" applyNumberFormat="1" applyFont="1" applyFill="1"/>
    <xf numFmtId="167" fontId="54" fillId="2" borderId="0" xfId="0" applyNumberFormat="1" applyFont="1" applyFill="1"/>
    <xf numFmtId="42" fontId="51" fillId="2" borderId="0" xfId="0" applyNumberFormat="1" applyFont="1" applyFill="1"/>
    <xf numFmtId="0" fontId="55" fillId="2" borderId="0" xfId="0" applyFont="1" applyFill="1"/>
    <xf numFmtId="42" fontId="56" fillId="2" borderId="0" xfId="0" applyNumberFormat="1" applyFont="1" applyFill="1"/>
    <xf numFmtId="167" fontId="56" fillId="2" borderId="0" xfId="0" applyNumberFormat="1" applyFont="1" applyFill="1"/>
    <xf numFmtId="0" fontId="57" fillId="2" borderId="0" xfId="0" applyFont="1" applyFill="1"/>
    <xf numFmtId="167" fontId="57" fillId="2" borderId="0" xfId="0" applyNumberFormat="1" applyFont="1" applyFill="1"/>
    <xf numFmtId="0" fontId="54" fillId="2" borderId="0" xfId="0" applyFont="1" applyFill="1"/>
    <xf numFmtId="167" fontId="34" fillId="2" borderId="0" xfId="0" applyNumberFormat="1" applyFont="1" applyFill="1" applyAlignment="1">
      <alignment horizontal="right"/>
    </xf>
    <xf numFmtId="0" fontId="34" fillId="2" borderId="0" xfId="0" applyFont="1" applyFill="1" applyAlignment="1">
      <alignment horizontal="right"/>
    </xf>
    <xf numFmtId="167" fontId="34" fillId="2" borderId="0" xfId="0" applyNumberFormat="1" applyFont="1" applyFill="1"/>
    <xf numFmtId="0" fontId="27" fillId="2" borderId="0" xfId="0" applyFont="1" applyFill="1" applyAlignment="1">
      <alignment horizontal="center"/>
    </xf>
    <xf numFmtId="0" fontId="48" fillId="2" borderId="0" xfId="0" applyFont="1" applyFill="1"/>
    <xf numFmtId="0" fontId="37" fillId="2" borderId="0" xfId="0" applyFont="1" applyFill="1"/>
    <xf numFmtId="4" fontId="28" fillId="2" borderId="0" xfId="0" applyNumberFormat="1" applyFont="1" applyFill="1"/>
    <xf numFmtId="0" fontId="44" fillId="2" borderId="0" xfId="0" applyFont="1" applyFill="1"/>
    <xf numFmtId="4" fontId="58" fillId="2" borderId="0" xfId="0" applyNumberFormat="1" applyFont="1" applyFill="1"/>
    <xf numFmtId="0" fontId="59" fillId="2" borderId="0" xfId="0" applyFont="1" applyFill="1"/>
    <xf numFmtId="167" fontId="60" fillId="2" borderId="0" xfId="0" applyNumberFormat="1" applyFont="1" applyFill="1"/>
    <xf numFmtId="0" fontId="61" fillId="2" borderId="0" xfId="0" applyFont="1" applyFill="1"/>
    <xf numFmtId="0" fontId="51" fillId="3" borderId="0" xfId="0" applyFont="1" applyFill="1"/>
    <xf numFmtId="167" fontId="51" fillId="3" borderId="0" xfId="0" applyNumberFormat="1" applyFont="1" applyFill="1"/>
    <xf numFmtId="0" fontId="32" fillId="3" borderId="0" xfId="0" applyFont="1" applyFill="1" applyAlignment="1">
      <alignment horizontal="left" vertical="top" wrapText="1"/>
    </xf>
    <xf numFmtId="0" fontId="28" fillId="4" borderId="0" xfId="0" applyFont="1" applyFill="1"/>
    <xf numFmtId="0" fontId="27" fillId="4" borderId="0" xfId="0" applyFont="1" applyFill="1" applyAlignment="1">
      <alignment horizontal="right"/>
    </xf>
    <xf numFmtId="0" fontId="62" fillId="2" borderId="0" xfId="0" applyFont="1" applyFill="1"/>
    <xf numFmtId="3" fontId="62" fillId="2" borderId="0" xfId="0" applyNumberFormat="1" applyFont="1" applyFill="1" applyProtection="1">
      <protection locked="0"/>
    </xf>
    <xf numFmtId="9" fontId="63" fillId="2" borderId="0" xfId="2" applyFont="1" applyFill="1" applyAlignment="1">
      <alignment horizontal="left"/>
    </xf>
    <xf numFmtId="9" fontId="43" fillId="2" borderId="0" xfId="2" applyFont="1" applyFill="1" applyAlignment="1">
      <alignment horizontal="left"/>
    </xf>
    <xf numFmtId="0" fontId="64" fillId="3" borderId="0" xfId="0" applyFont="1" applyFill="1"/>
    <xf numFmtId="0" fontId="41" fillId="3" borderId="0" xfId="0" applyFont="1" applyFill="1"/>
    <xf numFmtId="0" fontId="43" fillId="3" borderId="0" xfId="0" applyFont="1" applyFill="1"/>
    <xf numFmtId="0" fontId="64" fillId="3" borderId="0" xfId="0" applyFont="1" applyFill="1" applyAlignment="1">
      <alignment horizontal="left"/>
    </xf>
    <xf numFmtId="0" fontId="65" fillId="3" borderId="0" xfId="0" applyFont="1" applyFill="1" applyAlignment="1">
      <alignment horizontal="left"/>
    </xf>
    <xf numFmtId="0" fontId="66" fillId="3" borderId="0" xfId="0" applyFont="1" applyFill="1"/>
    <xf numFmtId="4" fontId="62" fillId="2" borderId="0" xfId="0" applyNumberFormat="1" applyFont="1" applyFill="1"/>
    <xf numFmtId="0" fontId="67" fillId="2" borderId="0" xfId="0" applyFont="1" applyFill="1"/>
    <xf numFmtId="0" fontId="67" fillId="4" borderId="0" xfId="0" applyFont="1" applyFill="1"/>
    <xf numFmtId="0" fontId="29" fillId="13" borderId="0" xfId="0" applyFont="1" applyFill="1"/>
    <xf numFmtId="0" fontId="44" fillId="13" borderId="0" xfId="0" applyFont="1" applyFill="1"/>
    <xf numFmtId="0" fontId="28" fillId="13" borderId="0" xfId="0" applyFont="1" applyFill="1"/>
    <xf numFmtId="0" fontId="28" fillId="13" borderId="0" xfId="0" applyFont="1" applyFill="1" applyAlignment="1">
      <alignment horizontal="right"/>
    </xf>
    <xf numFmtId="167" fontId="29" fillId="13" borderId="0" xfId="0" applyNumberFormat="1" applyFont="1" applyFill="1" applyAlignment="1">
      <alignment horizontal="right"/>
    </xf>
    <xf numFmtId="0" fontId="29" fillId="13" borderId="0" xfId="0" applyFont="1" applyFill="1" applyAlignment="1">
      <alignment horizontal="left"/>
    </xf>
    <xf numFmtId="0" fontId="45" fillId="13" borderId="0" xfId="0" applyFont="1" applyFill="1"/>
    <xf numFmtId="0" fontId="46" fillId="13" borderId="0" xfId="0" applyFont="1" applyFill="1"/>
    <xf numFmtId="0" fontId="45" fillId="13" borderId="0" xfId="0" applyFont="1" applyFill="1" applyAlignment="1">
      <alignment horizontal="left"/>
    </xf>
    <xf numFmtId="0" fontId="62" fillId="3" borderId="0" xfId="0" applyFont="1" applyFill="1"/>
    <xf numFmtId="0" fontId="67" fillId="3" borderId="0" xfId="0" applyFont="1" applyFill="1"/>
    <xf numFmtId="0" fontId="63" fillId="3" borderId="0" xfId="0" applyFont="1" applyFill="1"/>
    <xf numFmtId="0" fontId="63" fillId="2" borderId="0" xfId="0" applyFont="1" applyFill="1"/>
    <xf numFmtId="0" fontId="69" fillId="2" borderId="0" xfId="0" applyFont="1" applyFill="1"/>
    <xf numFmtId="167" fontId="69" fillId="2" borderId="0" xfId="0" applyNumberFormat="1" applyFont="1" applyFill="1"/>
    <xf numFmtId="4" fontId="67" fillId="2" borderId="0" xfId="0" applyNumberFormat="1" applyFont="1" applyFill="1"/>
    <xf numFmtId="4" fontId="69" fillId="2" borderId="0" xfId="0" applyNumberFormat="1" applyFont="1" applyFill="1"/>
    <xf numFmtId="0" fontId="68" fillId="2" borderId="0" xfId="0" applyFont="1" applyFill="1"/>
    <xf numFmtId="0" fontId="70" fillId="2" borderId="0" xfId="0" applyFont="1" applyFill="1" applyAlignment="1">
      <alignment vertical="center"/>
    </xf>
    <xf numFmtId="0" fontId="27" fillId="0" borderId="0" xfId="0" applyFont="1"/>
    <xf numFmtId="0" fontId="34" fillId="0" borderId="0" xfId="0" applyFont="1"/>
    <xf numFmtId="3" fontId="27" fillId="0" borderId="0" xfId="0" applyNumberFormat="1" applyFont="1" applyAlignment="1">
      <alignment horizontal="right"/>
    </xf>
    <xf numFmtId="3" fontId="27" fillId="0" borderId="0" xfId="0" applyNumberFormat="1" applyFont="1" applyAlignment="1">
      <alignment horizontal="left"/>
    </xf>
    <xf numFmtId="183" fontId="27" fillId="0" borderId="0" xfId="0" applyNumberFormat="1" applyFont="1" applyAlignment="1">
      <alignment horizontal="right"/>
    </xf>
    <xf numFmtId="0" fontId="34" fillId="0" borderId="0" xfId="0" quotePrefix="1" applyFont="1" applyAlignment="1">
      <alignment horizontal="left"/>
    </xf>
    <xf numFmtId="0" fontId="27" fillId="0" borderId="0" xfId="0" quotePrefix="1" applyFont="1" applyAlignment="1">
      <alignment horizontal="left"/>
    </xf>
    <xf numFmtId="0" fontId="28" fillId="0" borderId="0" xfId="0" applyFont="1"/>
    <xf numFmtId="0" fontId="27" fillId="0" borderId="19" xfId="0" applyFont="1" applyBorder="1"/>
    <xf numFmtId="0" fontId="27" fillId="0" borderId="20" xfId="0" applyFont="1" applyBorder="1"/>
    <xf numFmtId="0" fontId="27" fillId="0" borderId="21" xfId="0" applyFont="1" applyBorder="1"/>
    <xf numFmtId="0" fontId="27" fillId="0" borderId="22" xfId="0" applyFont="1" applyBorder="1"/>
    <xf numFmtId="0" fontId="71" fillId="0" borderId="23" xfId="0" applyFont="1" applyBorder="1" applyAlignment="1">
      <alignment horizontal="right"/>
    </xf>
    <xf numFmtId="0" fontId="71" fillId="0" borderId="23" xfId="0" quotePrefix="1" applyFont="1" applyBorder="1" applyAlignment="1">
      <alignment horizontal="right"/>
    </xf>
    <xf numFmtId="0" fontId="27" fillId="0" borderId="23" xfId="0" applyFont="1" applyBorder="1"/>
    <xf numFmtId="3" fontId="27" fillId="0" borderId="22" xfId="0" applyNumberFormat="1" applyFont="1" applyBorder="1"/>
    <xf numFmtId="0" fontId="27" fillId="0" borderId="0" xfId="0" applyFont="1" applyAlignment="1">
      <alignment horizontal="center"/>
    </xf>
    <xf numFmtId="183" fontId="27" fillId="0" borderId="0" xfId="0" applyNumberFormat="1" applyFont="1"/>
    <xf numFmtId="164" fontId="27" fillId="0" borderId="23" xfId="0" applyNumberFormat="1" applyFont="1" applyBorder="1"/>
    <xf numFmtId="0" fontId="27" fillId="0" borderId="23" xfId="0" quotePrefix="1" applyFont="1" applyBorder="1" applyAlignment="1">
      <alignment horizontal="fill"/>
    </xf>
    <xf numFmtId="0" fontId="27" fillId="0" borderId="24" xfId="0" applyFont="1" applyBorder="1"/>
    <xf numFmtId="0" fontId="27" fillId="0" borderId="25" xfId="0" applyFont="1" applyBorder="1"/>
    <xf numFmtId="0" fontId="27" fillId="0" borderId="26" xfId="0" applyFont="1" applyBorder="1"/>
    <xf numFmtId="166" fontId="27" fillId="0" borderId="0" xfId="0" applyNumberFormat="1" applyFont="1"/>
    <xf numFmtId="0" fontId="50" fillId="0" borderId="0" xfId="3" applyFont="1" applyAlignment="1">
      <alignment horizontal="right"/>
    </xf>
    <xf numFmtId="0" fontId="50" fillId="2" borderId="0" xfId="0" applyFont="1" applyFill="1" applyAlignment="1">
      <alignment horizontal="right"/>
    </xf>
    <xf numFmtId="184" fontId="0" fillId="0" borderId="0" xfId="0" applyNumberFormat="1" applyAlignment="1">
      <alignment vertical="center" wrapText="1"/>
    </xf>
    <xf numFmtId="0" fontId="0" fillId="0" borderId="0" xfId="0" applyAlignment="1">
      <alignment vertical="center" wrapText="1"/>
    </xf>
    <xf numFmtId="9" fontId="0" fillId="2" borderId="0" xfId="0" applyNumberFormat="1" applyFill="1"/>
    <xf numFmtId="3" fontId="0" fillId="2" borderId="0" xfId="0" applyNumberFormat="1" applyFill="1"/>
    <xf numFmtId="165" fontId="0" fillId="2" borderId="0" xfId="1" applyNumberFormat="1" applyFont="1" applyFill="1" applyBorder="1"/>
    <xf numFmtId="0" fontId="24" fillId="2" borderId="0" xfId="0" applyFont="1" applyFill="1" applyAlignment="1">
      <alignment horizontal="center"/>
    </xf>
    <xf numFmtId="0" fontId="24" fillId="2" borderId="0" xfId="0" applyFont="1" applyFill="1"/>
    <xf numFmtId="0" fontId="72" fillId="14" borderId="0" xfId="0" applyFont="1" applyFill="1" applyAlignment="1">
      <alignment horizontal="center" vertical="center" wrapText="1"/>
    </xf>
    <xf numFmtId="0" fontId="0" fillId="2" borderId="0" xfId="0" quotePrefix="1" applyFill="1" applyAlignment="1">
      <alignment horizontal="left"/>
    </xf>
    <xf numFmtId="9" fontId="0" fillId="2" borderId="0" xfId="2" applyFont="1" applyFill="1" applyBorder="1"/>
    <xf numFmtId="184" fontId="0" fillId="0" borderId="0" xfId="0" applyNumberFormat="1"/>
    <xf numFmtId="10" fontId="18" fillId="0" borderId="0" xfId="3" quotePrefix="1" applyNumberFormat="1" applyFont="1" applyAlignment="1">
      <alignment horizontal="fill"/>
    </xf>
    <xf numFmtId="10" fontId="1" fillId="0" borderId="0" xfId="3" applyNumberFormat="1" applyFont="1" applyAlignment="1">
      <alignment horizontal="left"/>
    </xf>
    <xf numFmtId="170" fontId="1" fillId="0" borderId="0" xfId="3" quotePrefix="1" applyNumberFormat="1" applyFont="1" applyAlignment="1">
      <alignment horizontal="center"/>
    </xf>
    <xf numFmtId="0" fontId="19" fillId="2" borderId="0" xfId="0" applyFont="1" applyFill="1" applyAlignment="1">
      <alignment horizontal="center"/>
    </xf>
    <xf numFmtId="0" fontId="22" fillId="2" borderId="0" xfId="0" applyFont="1" applyFill="1" applyAlignment="1">
      <alignment horizontal="center"/>
    </xf>
    <xf numFmtId="172" fontId="22" fillId="2" borderId="0" xfId="0" applyNumberFormat="1" applyFont="1" applyFill="1" applyAlignment="1">
      <alignment horizontal="center"/>
    </xf>
    <xf numFmtId="3" fontId="19" fillId="2" borderId="0" xfId="0" applyNumberFormat="1" applyFont="1" applyFill="1" applyAlignment="1">
      <alignment horizontal="center"/>
    </xf>
    <xf numFmtId="1" fontId="0" fillId="2" borderId="0" xfId="0" applyNumberFormat="1" applyFill="1"/>
    <xf numFmtId="0" fontId="23" fillId="2" borderId="0" xfId="0" applyFont="1" applyFill="1" applyAlignment="1">
      <alignment horizontal="right"/>
    </xf>
    <xf numFmtId="10" fontId="0" fillId="2" borderId="0" xfId="0" applyNumberFormat="1" applyFill="1"/>
    <xf numFmtId="0" fontId="24" fillId="0" borderId="0" xfId="0" applyFont="1" applyAlignment="1">
      <alignment horizontal="center"/>
    </xf>
    <xf numFmtId="10" fontId="0" fillId="2" borderId="0" xfId="0" quotePrefix="1" applyNumberFormat="1" applyFill="1" applyAlignment="1">
      <alignment horizontal="left"/>
    </xf>
    <xf numFmtId="0" fontId="27" fillId="0" borderId="22" xfId="0" quotePrefix="1" applyFont="1" applyBorder="1" applyAlignment="1">
      <alignment horizontal="fill"/>
    </xf>
    <xf numFmtId="3" fontId="0" fillId="2" borderId="0" xfId="0" quotePrefix="1" applyNumberFormat="1" applyFill="1" applyAlignment="1">
      <alignment horizontal="left"/>
    </xf>
    <xf numFmtId="0" fontId="0" fillId="0" borderId="0" xfId="0" quotePrefix="1" applyAlignment="1">
      <alignment horizontal="center"/>
    </xf>
    <xf numFmtId="165" fontId="0" fillId="2" borderId="0" xfId="0" applyNumberFormat="1" applyFill="1"/>
    <xf numFmtId="186" fontId="0" fillId="2" borderId="0" xfId="0" applyNumberFormat="1" applyFill="1"/>
    <xf numFmtId="2" fontId="0" fillId="2" borderId="0" xfId="0" applyNumberFormat="1" applyFill="1"/>
    <xf numFmtId="3" fontId="0" fillId="6" borderId="0" xfId="0" applyNumberFormat="1" applyFill="1"/>
    <xf numFmtId="172" fontId="22" fillId="6" borderId="0" xfId="0" applyNumberFormat="1" applyFont="1" applyFill="1" applyAlignment="1">
      <alignment horizontal="left"/>
    </xf>
    <xf numFmtId="167" fontId="27" fillId="3" borderId="0" xfId="0" applyNumberFormat="1" applyFont="1" applyFill="1" applyAlignment="1" applyProtection="1">
      <alignment horizontal="right"/>
      <protection locked="0"/>
    </xf>
    <xf numFmtId="0" fontId="27" fillId="2" borderId="0" xfId="0" applyFont="1" applyFill="1" applyAlignment="1">
      <alignment horizontal="left"/>
    </xf>
    <xf numFmtId="167" fontId="46" fillId="13" borderId="0" xfId="0" applyNumberFormat="1" applyFont="1" applyFill="1" applyAlignment="1">
      <alignment horizontal="right"/>
    </xf>
    <xf numFmtId="0" fontId="46" fillId="13" borderId="0" xfId="0" applyFont="1" applyFill="1" applyAlignment="1">
      <alignment horizontal="right"/>
    </xf>
    <xf numFmtId="3" fontId="27" fillId="3" borderId="0" xfId="0" applyNumberFormat="1" applyFont="1" applyFill="1" applyAlignment="1" applyProtection="1">
      <alignment horizontal="right"/>
      <protection locked="0"/>
    </xf>
    <xf numFmtId="0" fontId="27" fillId="2" borderId="0" xfId="0" applyFont="1" applyFill="1" applyAlignment="1">
      <alignment horizontal="left" vertical="top" wrapText="1"/>
    </xf>
    <xf numFmtId="10" fontId="27" fillId="3" borderId="0" xfId="2" applyNumberFormat="1" applyFont="1" applyFill="1" applyAlignment="1" applyProtection="1">
      <alignment horizontal="right"/>
      <protection locked="0"/>
    </xf>
    <xf numFmtId="167" fontId="27" fillId="2" borderId="0" xfId="0" applyNumberFormat="1" applyFont="1" applyFill="1" applyAlignment="1">
      <alignment horizontal="right" vertical="center"/>
    </xf>
    <xf numFmtId="0" fontId="27" fillId="2" borderId="0" xfId="0" applyFont="1" applyFill="1" applyAlignment="1">
      <alignment horizontal="left" vertical="center"/>
    </xf>
    <xf numFmtId="0" fontId="27" fillId="2" borderId="0" xfId="0" applyFont="1" applyFill="1" applyAlignment="1">
      <alignment horizontal="left" vertical="center" wrapText="1"/>
    </xf>
    <xf numFmtId="0" fontId="27" fillId="2" borderId="0" xfId="0" applyFont="1" applyFill="1" applyAlignment="1">
      <alignment vertical="center"/>
    </xf>
    <xf numFmtId="0" fontId="27" fillId="0" borderId="0" xfId="0" applyFont="1" applyAlignment="1">
      <alignment vertical="center"/>
    </xf>
    <xf numFmtId="9" fontId="27" fillId="2" borderId="0" xfId="2" applyFont="1" applyFill="1" applyAlignment="1">
      <alignment horizontal="right"/>
    </xf>
    <xf numFmtId="167" fontId="65" fillId="3" borderId="0" xfId="0" applyNumberFormat="1" applyFont="1" applyFill="1" applyAlignment="1">
      <alignment horizontal="right"/>
    </xf>
    <xf numFmtId="0" fontId="38" fillId="2" borderId="0" xfId="0" applyFont="1" applyFill="1" applyAlignment="1">
      <alignment horizontal="left"/>
    </xf>
    <xf numFmtId="3" fontId="27" fillId="2" borderId="0" xfId="0" applyNumberFormat="1" applyFont="1" applyFill="1" applyAlignment="1">
      <alignment horizontal="right"/>
    </xf>
    <xf numFmtId="167" fontId="34" fillId="3" borderId="0" xfId="0" applyNumberFormat="1" applyFont="1" applyFill="1" applyAlignment="1">
      <alignment horizontal="right"/>
    </xf>
    <xf numFmtId="166" fontId="27" fillId="3" borderId="0" xfId="0" applyNumberFormat="1" applyFont="1" applyFill="1" applyAlignment="1" applyProtection="1">
      <alignment horizontal="right"/>
      <protection locked="0"/>
    </xf>
    <xf numFmtId="0" fontId="0" fillId="0" borderId="0" xfId="0" applyAlignment="1" applyProtection="1">
      <alignment horizontal="right"/>
      <protection locked="0"/>
    </xf>
    <xf numFmtId="185" fontId="27" fillId="3" borderId="0" xfId="0" applyNumberFormat="1" applyFont="1" applyFill="1" applyAlignment="1" applyProtection="1">
      <alignment horizontal="right"/>
      <protection locked="0"/>
    </xf>
    <xf numFmtId="185" fontId="0" fillId="0" borderId="0" xfId="0" applyNumberFormat="1" applyAlignment="1" applyProtection="1">
      <alignment horizontal="right"/>
      <protection locked="0"/>
    </xf>
    <xf numFmtId="181" fontId="27" fillId="3" borderId="0" xfId="0" applyNumberFormat="1" applyFont="1" applyFill="1" applyAlignment="1" applyProtection="1">
      <alignment horizontal="right" vertical="center"/>
      <protection locked="0"/>
    </xf>
    <xf numFmtId="0" fontId="27" fillId="0" borderId="0" xfId="0" applyFont="1"/>
    <xf numFmtId="0" fontId="27" fillId="3" borderId="0" xfId="0" applyFont="1" applyFill="1" applyAlignment="1" applyProtection="1">
      <alignment horizontal="right"/>
      <protection locked="0"/>
    </xf>
    <xf numFmtId="0" fontId="27" fillId="0" borderId="0" xfId="0" applyFont="1" applyAlignment="1" applyProtection="1">
      <alignment horizontal="right"/>
      <protection locked="0"/>
    </xf>
    <xf numFmtId="0" fontId="0" fillId="3" borderId="0" xfId="0" applyFill="1" applyAlignment="1" applyProtection="1">
      <alignment horizontal="right"/>
      <protection locked="0"/>
    </xf>
    <xf numFmtId="4" fontId="37" fillId="2" borderId="0" xfId="0" applyNumberFormat="1" applyFont="1" applyFill="1" applyAlignment="1">
      <alignment horizontal="right"/>
    </xf>
    <xf numFmtId="167" fontId="69" fillId="2" borderId="0" xfId="0" applyNumberFormat="1" applyFont="1" applyFill="1" applyAlignment="1">
      <alignment horizontal="right"/>
    </xf>
    <xf numFmtId="167" fontId="34" fillId="2" borderId="0" xfId="0" applyNumberFormat="1" applyFont="1" applyFill="1" applyAlignment="1">
      <alignment horizontal="right"/>
    </xf>
    <xf numFmtId="167" fontId="27" fillId="2" borderId="0" xfId="0" applyNumberFormat="1" applyFont="1" applyFill="1" applyAlignment="1">
      <alignment horizontal="right"/>
    </xf>
    <xf numFmtId="49" fontId="27" fillId="3" borderId="0" xfId="0" applyNumberFormat="1" applyFont="1" applyFill="1" applyAlignment="1" applyProtection="1">
      <alignment horizontal="left"/>
      <protection locked="0"/>
    </xf>
    <xf numFmtId="167" fontId="64" fillId="3" borderId="0" xfId="0" applyNumberFormat="1" applyFont="1" applyFill="1" applyAlignment="1">
      <alignment horizontal="right"/>
    </xf>
    <xf numFmtId="0" fontId="27" fillId="3" borderId="0" xfId="0" applyFont="1" applyFill="1" applyAlignment="1" applyProtection="1">
      <alignment horizontal="left"/>
      <protection locked="0"/>
    </xf>
    <xf numFmtId="0" fontId="35" fillId="7" borderId="0" xfId="0" applyFont="1" applyFill="1" applyAlignment="1" applyProtection="1">
      <alignment horizontal="left"/>
      <protection locked="0"/>
    </xf>
    <xf numFmtId="181" fontId="27" fillId="3" borderId="0" xfId="0" applyNumberFormat="1" applyFont="1" applyFill="1" applyAlignment="1" applyProtection="1">
      <alignment vertical="center"/>
      <protection locked="0"/>
    </xf>
    <xf numFmtId="0" fontId="29" fillId="2" borderId="0" xfId="0" applyFont="1" applyFill="1" applyAlignment="1">
      <alignment horizontal="right"/>
    </xf>
    <xf numFmtId="0" fontId="32" fillId="3" borderId="0" xfId="0" applyFont="1" applyFill="1" applyAlignment="1">
      <alignment horizontal="left" vertical="top" wrapText="1"/>
    </xf>
    <xf numFmtId="0" fontId="27" fillId="2" borderId="0" xfId="0" applyFont="1" applyFill="1" applyAlignment="1">
      <alignment horizontal="right"/>
    </xf>
    <xf numFmtId="167" fontId="70" fillId="2" borderId="0" xfId="0" applyNumberFormat="1" applyFont="1" applyFill="1" applyAlignment="1">
      <alignment horizontal="right" vertical="center"/>
    </xf>
    <xf numFmtId="167" fontId="62" fillId="3" borderId="0" xfId="0" applyNumberFormat="1" applyFont="1" applyFill="1" applyAlignment="1">
      <alignment horizontal="right"/>
    </xf>
    <xf numFmtId="167" fontId="27" fillId="3" borderId="0" xfId="0" applyNumberFormat="1" applyFont="1" applyFill="1" applyAlignment="1">
      <alignment horizontal="right"/>
    </xf>
    <xf numFmtId="0" fontId="27" fillId="3" borderId="0" xfId="0" applyFont="1" applyFill="1" applyAlignment="1">
      <alignment horizontal="center"/>
    </xf>
    <xf numFmtId="0" fontId="62" fillId="3" borderId="0" xfId="0" applyFont="1" applyFill="1" applyAlignment="1">
      <alignment horizontal="center"/>
    </xf>
    <xf numFmtId="0" fontId="38" fillId="2" borderId="0" xfId="0" applyFont="1" applyFill="1" applyAlignment="1">
      <alignment horizontal="left" vertical="center"/>
    </xf>
    <xf numFmtId="0" fontId="27" fillId="0" borderId="0" xfId="0" applyFont="1" applyAlignment="1">
      <alignment horizontal="left" vertical="center"/>
    </xf>
    <xf numFmtId="1" fontId="27" fillId="3" borderId="0" xfId="0" applyNumberFormat="1" applyFont="1" applyFill="1" applyAlignment="1" applyProtection="1">
      <alignment horizontal="right" vertical="center"/>
      <protection locked="0"/>
    </xf>
    <xf numFmtId="1" fontId="27" fillId="3" borderId="0" xfId="0" applyNumberFormat="1" applyFont="1" applyFill="1" applyAlignment="1" applyProtection="1">
      <alignment vertical="center"/>
      <protection locked="0"/>
    </xf>
    <xf numFmtId="0" fontId="27" fillId="2" borderId="0" xfId="0" applyFont="1" applyFill="1"/>
    <xf numFmtId="0" fontId="0" fillId="2" borderId="14" xfId="0" applyFill="1" applyBorder="1" applyAlignment="1">
      <alignment horizontal="center"/>
    </xf>
    <xf numFmtId="0" fontId="0" fillId="2" borderId="14" xfId="0" quotePrefix="1" applyFill="1" applyBorder="1" applyAlignment="1">
      <alignment horizontal="center"/>
    </xf>
    <xf numFmtId="0" fontId="10" fillId="2" borderId="7" xfId="0" applyFont="1" applyFill="1" applyBorder="1" applyAlignment="1">
      <alignment horizontal="center"/>
    </xf>
    <xf numFmtId="0" fontId="10" fillId="2" borderId="10" xfId="0" applyFont="1" applyFill="1" applyBorder="1" applyAlignment="1">
      <alignment horizontal="center"/>
    </xf>
    <xf numFmtId="0" fontId="10" fillId="2" borderId="8" xfId="0" applyFont="1" applyFill="1" applyBorder="1" applyAlignment="1">
      <alignment horizontal="center"/>
    </xf>
    <xf numFmtId="3" fontId="10" fillId="2" borderId="7" xfId="0" applyNumberFormat="1" applyFont="1" applyFill="1" applyBorder="1" applyAlignment="1">
      <alignment horizontal="center" wrapText="1"/>
    </xf>
    <xf numFmtId="3" fontId="10" fillId="2" borderId="10" xfId="0" applyNumberFormat="1" applyFont="1" applyFill="1" applyBorder="1" applyAlignment="1">
      <alignment horizontal="center" wrapText="1"/>
    </xf>
    <xf numFmtId="3" fontId="10" fillId="2" borderId="8" xfId="0" applyNumberFormat="1" applyFont="1" applyFill="1" applyBorder="1" applyAlignment="1">
      <alignment horizontal="center" wrapText="1"/>
    </xf>
    <xf numFmtId="0" fontId="10" fillId="2" borderId="9" xfId="0" applyFont="1" applyFill="1" applyBorder="1" applyAlignment="1">
      <alignment horizontal="center"/>
    </xf>
    <xf numFmtId="3" fontId="10" fillId="2" borderId="1" xfId="0" applyNumberFormat="1" applyFont="1" applyFill="1" applyBorder="1" applyAlignment="1">
      <alignment horizontal="center"/>
    </xf>
    <xf numFmtId="0" fontId="10" fillId="2" borderId="1" xfId="0" applyFont="1" applyFill="1" applyBorder="1" applyAlignment="1">
      <alignment horizontal="center"/>
    </xf>
    <xf numFmtId="3" fontId="10" fillId="2" borderId="9" xfId="0" applyNumberFormat="1" applyFont="1" applyFill="1" applyBorder="1" applyAlignment="1">
      <alignment horizontal="center"/>
    </xf>
    <xf numFmtId="3" fontId="10" fillId="2" borderId="16" xfId="0" applyNumberFormat="1" applyFont="1" applyFill="1" applyBorder="1" applyAlignment="1">
      <alignment horizontal="center"/>
    </xf>
    <xf numFmtId="3" fontId="10" fillId="2" borderId="17" xfId="0" applyNumberFormat="1" applyFont="1" applyFill="1" applyBorder="1" applyAlignment="1">
      <alignment horizontal="center"/>
    </xf>
    <xf numFmtId="3" fontId="10" fillId="2" borderId="18" xfId="0" applyNumberFormat="1" applyFont="1" applyFill="1" applyBorder="1" applyAlignment="1">
      <alignment horizontal="center"/>
    </xf>
    <xf numFmtId="3" fontId="10" fillId="2" borderId="16" xfId="0" applyNumberFormat="1" applyFont="1" applyFill="1" applyBorder="1" applyAlignment="1">
      <alignment horizontal="center" wrapText="1"/>
    </xf>
    <xf numFmtId="3" fontId="10" fillId="2" borderId="17" xfId="0" applyNumberFormat="1" applyFont="1" applyFill="1" applyBorder="1" applyAlignment="1">
      <alignment horizontal="center" wrapText="1"/>
    </xf>
    <xf numFmtId="3" fontId="10" fillId="2" borderId="18" xfId="0" applyNumberFormat="1" applyFont="1" applyFill="1" applyBorder="1" applyAlignment="1">
      <alignment horizontal="center" wrapText="1"/>
    </xf>
    <xf numFmtId="3" fontId="0" fillId="2" borderId="9" xfId="0" quotePrefix="1" applyNumberFormat="1" applyFill="1" applyBorder="1" applyAlignment="1">
      <alignment horizontal="center"/>
    </xf>
    <xf numFmtId="3" fontId="10" fillId="2" borderId="2" xfId="0" applyNumberFormat="1" applyFont="1" applyFill="1" applyBorder="1" applyAlignment="1">
      <alignment horizontal="center"/>
    </xf>
    <xf numFmtId="3" fontId="10" fillId="2" borderId="4" xfId="0" applyNumberFormat="1" applyFont="1" applyFill="1" applyBorder="1" applyAlignment="1">
      <alignment horizontal="center"/>
    </xf>
    <xf numFmtId="3" fontId="10" fillId="2" borderId="3" xfId="0" applyNumberFormat="1" applyFont="1" applyFill="1" applyBorder="1" applyAlignment="1">
      <alignment horizontal="center"/>
    </xf>
    <xf numFmtId="3" fontId="10" fillId="2" borderId="7" xfId="0" applyNumberFormat="1" applyFont="1" applyFill="1" applyBorder="1" applyAlignment="1">
      <alignment horizontal="center"/>
    </xf>
    <xf numFmtId="3" fontId="10" fillId="2" borderId="10" xfId="0" applyNumberFormat="1" applyFont="1" applyFill="1" applyBorder="1" applyAlignment="1">
      <alignment horizontal="center"/>
    </xf>
    <xf numFmtId="3" fontId="10" fillId="2" borderId="8" xfId="0" applyNumberFormat="1" applyFont="1" applyFill="1" applyBorder="1" applyAlignment="1">
      <alignment horizontal="center"/>
    </xf>
    <xf numFmtId="0" fontId="0" fillId="2" borderId="2" xfId="0" applyFill="1" applyBorder="1" applyAlignment="1">
      <alignment horizontal="center" vertical="center"/>
    </xf>
    <xf numFmtId="0" fontId="10" fillId="2" borderId="3" xfId="0" applyFont="1" applyFill="1" applyBorder="1" applyAlignment="1">
      <alignment horizontal="center" vertical="center"/>
    </xf>
    <xf numFmtId="0" fontId="10" fillId="2" borderId="2" xfId="0" applyFont="1" applyFill="1" applyBorder="1" applyAlignment="1">
      <alignment horizontal="center"/>
    </xf>
    <xf numFmtId="0" fontId="10" fillId="2" borderId="3" xfId="0" applyFont="1" applyFill="1" applyBorder="1" applyAlignment="1">
      <alignment horizontal="center"/>
    </xf>
    <xf numFmtId="0" fontId="10" fillId="2" borderId="4" xfId="0" applyFont="1" applyFill="1" applyBorder="1" applyAlignment="1">
      <alignment horizontal="center"/>
    </xf>
  </cellXfs>
  <cellStyles count="6">
    <cellStyle name="Normal 2" xfId="3" xr:uid="{DEFC9A7F-5EAD-467B-BE32-F004EBFA9D3D}"/>
    <cellStyle name="Normal 3" xfId="4" xr:uid="{00D8C59B-1F0B-4BF6-BED1-B883792489A8}"/>
    <cellStyle name="Percent 2" xfId="5" xr:uid="{E90A8A6F-7B4A-440D-8E13-79D9D0F8365F}"/>
    <cellStyle name="Procent" xfId="2" builtinId="5"/>
    <cellStyle name="Standaard" xfId="0" builtinId="0"/>
    <cellStyle name="Valuta" xfId="1" builtinId="4"/>
  </cellStyles>
  <dxfs count="28">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FFFF00"/>
        </patternFill>
      </fill>
    </dxf>
    <dxf>
      <fill>
        <patternFill>
          <bgColor rgb="FF92D050"/>
        </patternFill>
      </fill>
    </dxf>
    <dxf>
      <fill>
        <patternFill>
          <bgColor rgb="FF92D050"/>
        </patternFill>
      </fill>
    </dxf>
    <dxf>
      <fill>
        <patternFill>
          <bgColor rgb="FFFFFF00"/>
        </patternFill>
      </fill>
    </dxf>
    <dxf>
      <fill>
        <patternFill>
          <bgColor rgb="FF92D050"/>
        </patternFill>
      </fill>
    </dxf>
    <dxf>
      <fill>
        <patternFill>
          <bgColor rgb="FF00B0F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FFFF00"/>
        </patternFill>
      </fill>
    </dxf>
    <dxf>
      <fill>
        <patternFill>
          <bgColor rgb="FF92D050"/>
        </patternFill>
      </fill>
    </dxf>
    <dxf>
      <fill>
        <patternFill>
          <bgColor rgb="FF92D050"/>
        </patternFill>
      </fill>
    </dxf>
    <dxf>
      <fill>
        <patternFill>
          <bgColor rgb="FF00B0F0"/>
        </patternFill>
      </fill>
    </dxf>
    <dxf>
      <fill>
        <patternFill>
          <bgColor rgb="FF92D050"/>
        </patternFill>
      </fill>
    </dxf>
    <dxf>
      <fill>
        <patternFill>
          <bgColor rgb="FFFFFF00"/>
        </patternFill>
      </fill>
    </dxf>
    <dxf>
      <fill>
        <patternFill>
          <bgColor rgb="FF92D050"/>
        </patternFill>
      </fill>
    </dxf>
    <dxf>
      <fill>
        <patternFill>
          <bgColor rgb="FFFFFF00"/>
        </patternFill>
      </fill>
    </dxf>
    <dxf>
      <font>
        <color theme="0" tint="-0.499984740745262"/>
      </font>
      <fill>
        <patternFill>
          <bgColor theme="0"/>
        </patternFill>
      </fill>
    </dxf>
    <dxf>
      <font>
        <color theme="0"/>
      </font>
    </dxf>
  </dxfs>
  <tableStyles count="0" defaultTableStyle="TableStyleMedium2" defaultPivotStyle="PivotStyleLight16"/>
  <colors>
    <mruColors>
      <color rgb="FF56E27E"/>
      <color rgb="FF00E772"/>
      <color rgb="FFFB7C79"/>
      <color rgb="FF00A065"/>
      <color rgb="FFE9713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051233412539456E-2"/>
          <c:y val="1.3774090310031816E-3"/>
          <c:w val="0.88273704003271825"/>
          <c:h val="0.95321711798814757"/>
        </c:manualLayout>
      </c:layout>
      <c:barChart>
        <c:barDir val="col"/>
        <c:grouping val="clustered"/>
        <c:varyColors val="0"/>
        <c:ser>
          <c:idx val="0"/>
          <c:order val="0"/>
          <c:tx>
            <c:strRef>
              <c:f>Calculator!$C$194</c:f>
              <c:strCache>
                <c:ptCount val="1"/>
                <c:pt idx="0">
                  <c:v>Cumulatief</c:v>
                </c:pt>
              </c:strCache>
            </c:strRef>
          </c:tx>
          <c:spPr>
            <a:solidFill>
              <a:srgbClr val="56E27E"/>
            </a:solidFill>
            <a:ln w="22225">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Inter" panose="02000503000000020004" pitchFamily="2" charset="0"/>
                    <a:ea typeface="Inter" panose="02000503000000020004" pitchFamily="2" charset="0"/>
                    <a:cs typeface="+mn-cs"/>
                  </a:defRPr>
                </a:pPr>
                <a:endParaRPr lang="nl-NL"/>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Calculator!$D$194:$X$194</c:f>
              <c:numCache>
                <c:formatCode>#,##0</c:formatCode>
                <c:ptCount val="21"/>
                <c:pt idx="0">
                  <c:v>-12705.999999</c:v>
                </c:pt>
                <c:pt idx="1">
                  <c:v>-10458.999999</c:v>
                </c:pt>
                <c:pt idx="2">
                  <c:v>-8706.9999989999997</c:v>
                </c:pt>
                <c:pt idx="3">
                  <c:v>-6965.9999989999997</c:v>
                </c:pt>
                <c:pt idx="4">
                  <c:v>-5236.9999989999997</c:v>
                </c:pt>
                <c:pt idx="5">
                  <c:v>-3517.9999989999997</c:v>
                </c:pt>
                <c:pt idx="6">
                  <c:v>-1808.9999989999997</c:v>
                </c:pt>
                <c:pt idx="7">
                  <c:v>-108.99999899999966</c:v>
                </c:pt>
                <c:pt idx="8">
                  <c:v>1584.0000010000003</c:v>
                </c:pt>
                <c:pt idx="9">
                  <c:v>3271.0000010000003</c:v>
                </c:pt>
                <c:pt idx="10">
                  <c:v>4953.0000010000003</c:v>
                </c:pt>
                <c:pt idx="11">
                  <c:v>6633.0000010000003</c:v>
                </c:pt>
                <c:pt idx="12">
                  <c:v>8313.0000010000003</c:v>
                </c:pt>
                <c:pt idx="13">
                  <c:v>9995.0000010000003</c:v>
                </c:pt>
                <c:pt idx="14">
                  <c:v>11683.000001</c:v>
                </c:pt>
                <c:pt idx="15">
                  <c:v>13380.000001</c:v>
                </c:pt>
                <c:pt idx="16">
                  <c:v>15090.000001</c:v>
                </c:pt>
                <c:pt idx="17">
                  <c:v>16818.000001</c:v>
                </c:pt>
                <c:pt idx="18">
                  <c:v>18569.000001</c:v>
                </c:pt>
                <c:pt idx="19">
                  <c:v>20349.000001</c:v>
                </c:pt>
                <c:pt idx="20">
                  <c:v>22010.000001</c:v>
                </c:pt>
              </c:numCache>
            </c:numRef>
          </c:val>
          <c:extLst>
            <c:ext xmlns:c14="http://schemas.microsoft.com/office/drawing/2007/8/2/chart" uri="{6F2FDCE9-48DA-4B69-8628-5D25D57E5C99}">
              <c14:invertSolidFillFmt>
                <c14:spPr xmlns:c14="http://schemas.microsoft.com/office/drawing/2007/8/2/chart">
                  <a:solidFill>
                    <a:srgbClr val="7F7F7F"/>
                  </a:solidFill>
                  <a:ln w="22225">
                    <a:noFill/>
                  </a:ln>
                  <a:effectLst/>
                </c14:spPr>
              </c14:invertSolidFillFmt>
            </c:ext>
            <c:ext xmlns:c16="http://schemas.microsoft.com/office/drawing/2014/chart" uri="{C3380CC4-5D6E-409C-BE32-E72D297353CC}">
              <c16:uniqueId val="{00000000-A60C-6442-9742-61895A37EE88}"/>
            </c:ext>
          </c:extLst>
        </c:ser>
        <c:ser>
          <c:idx val="1"/>
          <c:order val="1"/>
          <c:spPr>
            <a:solidFill>
              <a:srgbClr val="E97132"/>
            </a:solidFill>
            <a:ln>
              <a:noFill/>
            </a:ln>
            <a:effectLst/>
          </c:spPr>
          <c:invertIfNegative val="1"/>
          <c:val>
            <c:numRef>
              <c:f>Calculator!$D$196:$X$196</c:f>
              <c:numCache>
                <c:formatCode>"€"\ #,##0</c:formatCode>
                <c:ptCount val="21"/>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09B2-2044-9360-6B0FB513BDA3}"/>
            </c:ext>
          </c:extLst>
        </c:ser>
        <c:dLbls>
          <c:showLegendKey val="0"/>
          <c:showVal val="0"/>
          <c:showCatName val="0"/>
          <c:showSerName val="0"/>
          <c:showPercent val="0"/>
          <c:showBubbleSize val="0"/>
        </c:dLbls>
        <c:gapWidth val="150"/>
        <c:overlap val="100"/>
        <c:axId val="1903074592"/>
        <c:axId val="1902811280"/>
      </c:barChart>
      <c:catAx>
        <c:axId val="1903074592"/>
        <c:scaling>
          <c:orientation val="minMax"/>
        </c:scaling>
        <c:delete val="1"/>
        <c:axPos val="b"/>
        <c:majorTickMark val="none"/>
        <c:minorTickMark val="none"/>
        <c:tickLblPos val="nextTo"/>
        <c:crossAx val="1902811280"/>
        <c:crosses val="autoZero"/>
        <c:auto val="1"/>
        <c:lblAlgn val="ctr"/>
        <c:lblOffset val="100"/>
        <c:noMultiLvlLbl val="0"/>
      </c:catAx>
      <c:valAx>
        <c:axId val="1902811280"/>
        <c:scaling>
          <c:orientation val="minMax"/>
        </c:scaling>
        <c:delete val="1"/>
        <c:axPos val="l"/>
        <c:numFmt formatCode="#,##0" sourceLinked="1"/>
        <c:majorTickMark val="none"/>
        <c:minorTickMark val="none"/>
        <c:tickLblPos val="nextTo"/>
        <c:crossAx val="1903074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nl-NL"/>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358701</xdr:colOff>
      <xdr:row>181</xdr:row>
      <xdr:rowOff>654050</xdr:rowOff>
    </xdr:from>
    <xdr:to>
      <xdr:col>25</xdr:col>
      <xdr:colOff>271450</xdr:colOff>
      <xdr:row>183</xdr:row>
      <xdr:rowOff>444500</xdr:rowOff>
    </xdr:to>
    <xdr:graphicFrame macro="">
      <xdr:nvGraphicFramePr>
        <xdr:cNvPr id="10" name="Grafiek 9">
          <a:extLst>
            <a:ext uri="{FF2B5EF4-FFF2-40B4-BE49-F238E27FC236}">
              <a16:creationId xmlns:a16="http://schemas.microsoft.com/office/drawing/2014/main" id="{51E6FB3B-42DA-7E10-155A-55DDBBFF5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241162</xdr:colOff>
      <xdr:row>0</xdr:row>
      <xdr:rowOff>1169</xdr:rowOff>
    </xdr:from>
    <xdr:to>
      <xdr:col>22</xdr:col>
      <xdr:colOff>296984</xdr:colOff>
      <xdr:row>1</xdr:row>
      <xdr:rowOff>464518</xdr:rowOff>
    </xdr:to>
    <xdr:pic>
      <xdr:nvPicPr>
        <xdr:cNvPr id="13" name="Afbeelding 12">
          <a:extLst>
            <a:ext uri="{FF2B5EF4-FFF2-40B4-BE49-F238E27FC236}">
              <a16:creationId xmlns:a16="http://schemas.microsoft.com/office/drawing/2014/main" id="{5A1512EB-26FB-188C-98E8-F9670ACFE25C}"/>
            </a:ext>
          </a:extLst>
        </xdr:cNvPr>
        <xdr:cNvPicPr>
          <a:picLocks noChangeAspect="1"/>
        </xdr:cNvPicPr>
      </xdr:nvPicPr>
      <xdr:blipFill>
        <a:blip xmlns:r="http://schemas.openxmlformats.org/officeDocument/2006/relationships" r:embed="rId2"/>
        <a:stretch>
          <a:fillRect/>
        </a:stretch>
      </xdr:blipFill>
      <xdr:spPr>
        <a:xfrm>
          <a:off x="9019758" y="1169"/>
          <a:ext cx="1522328" cy="680161"/>
        </a:xfrm>
        <a:prstGeom prst="rect">
          <a:avLst/>
        </a:prstGeom>
      </xdr:spPr>
    </xdr:pic>
    <xdr:clientData/>
  </xdr:twoCellAnchor>
  <xdr:twoCellAnchor>
    <xdr:from>
      <xdr:col>20</xdr:col>
      <xdr:colOff>411994</xdr:colOff>
      <xdr:row>35</xdr:row>
      <xdr:rowOff>7981</xdr:rowOff>
    </xdr:from>
    <xdr:to>
      <xdr:col>21</xdr:col>
      <xdr:colOff>376291</xdr:colOff>
      <xdr:row>36</xdr:row>
      <xdr:rowOff>12126</xdr:rowOff>
    </xdr:to>
    <xdr:sp macro="" textlink="">
      <xdr:nvSpPr>
        <xdr:cNvPr id="14" name="Afgeronde rechthoek 13">
          <a:extLst>
            <a:ext uri="{FF2B5EF4-FFF2-40B4-BE49-F238E27FC236}">
              <a16:creationId xmlns:a16="http://schemas.microsoft.com/office/drawing/2014/main" id="{86BDCFD3-E0CC-844F-86AD-AC926E138998}"/>
            </a:ext>
          </a:extLst>
        </xdr:cNvPr>
        <xdr:cNvSpPr/>
      </xdr:nvSpPr>
      <xdr:spPr>
        <a:xfrm>
          <a:off x="10531354" y="7211421"/>
          <a:ext cx="462137" cy="217505"/>
        </a:xfrm>
        <a:prstGeom prst="roundRect">
          <a:avLst>
            <a:gd name="adj" fmla="val 50000"/>
          </a:avLst>
        </a:prstGeom>
        <a:solidFill>
          <a:srgbClr val="56E27E">
            <a:alpha val="10000"/>
          </a:srgbClr>
        </a:solidFill>
        <a:ln>
          <a:solidFill>
            <a:srgbClr val="56E27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nl-NL" sz="1200">
            <a:solidFill>
              <a:srgbClr val="00A065"/>
            </a:solidFill>
            <a:latin typeface="Inter" panose="02000503000000020004" pitchFamily="2" charset="0"/>
            <a:ea typeface="Inter" panose="02000503000000020004" pitchFamily="2" charset="0"/>
          </a:endParaRPr>
        </a:p>
      </xdr:txBody>
    </xdr:sp>
    <xdr:clientData/>
  </xdr:twoCellAnchor>
  <xdr:twoCellAnchor>
    <xdr:from>
      <xdr:col>11</xdr:col>
      <xdr:colOff>297627</xdr:colOff>
      <xdr:row>201</xdr:row>
      <xdr:rowOff>10764</xdr:rowOff>
    </xdr:from>
    <xdr:to>
      <xdr:col>22</xdr:col>
      <xdr:colOff>110858</xdr:colOff>
      <xdr:row>201</xdr:row>
      <xdr:rowOff>392392</xdr:rowOff>
    </xdr:to>
    <xdr:sp macro="" textlink="">
      <xdr:nvSpPr>
        <xdr:cNvPr id="15" name="Afgeronde rechthoek 14">
          <a:extLst>
            <a:ext uri="{FF2B5EF4-FFF2-40B4-BE49-F238E27FC236}">
              <a16:creationId xmlns:a16="http://schemas.microsoft.com/office/drawing/2014/main" id="{6C82BC70-2A8A-B44B-9AC0-196F79438670}"/>
            </a:ext>
          </a:extLst>
        </xdr:cNvPr>
        <xdr:cNvSpPr/>
      </xdr:nvSpPr>
      <xdr:spPr>
        <a:xfrm>
          <a:off x="5915763" y="43954917"/>
          <a:ext cx="5248400" cy="381628"/>
        </a:xfrm>
        <a:prstGeom prst="roundRect">
          <a:avLst>
            <a:gd name="adj" fmla="val 50000"/>
          </a:avLst>
        </a:prstGeom>
        <a:solidFill>
          <a:srgbClr val="56E27E">
            <a:alpha val="10000"/>
          </a:srgbClr>
        </a:solidFill>
        <a:ln>
          <a:solidFill>
            <a:srgbClr val="56E27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nl-NL" sz="1200" b="1">
            <a:solidFill>
              <a:srgbClr val="00A065"/>
            </a:solidFill>
            <a:latin typeface="Inter" panose="02000503000000020004" pitchFamily="2" charset="0"/>
            <a:ea typeface="Inter" panose="02000503000000020004" pitchFamily="2" charset="0"/>
          </a:endParaRPr>
        </a:p>
      </xdr:txBody>
    </xdr:sp>
    <xdr:clientData/>
  </xdr:twoCellAnchor>
  <xdr:twoCellAnchor>
    <xdr:from>
      <xdr:col>20</xdr:col>
      <xdr:colOff>420536</xdr:colOff>
      <xdr:row>31</xdr:row>
      <xdr:rowOff>12989</xdr:rowOff>
    </xdr:from>
    <xdr:to>
      <xdr:col>21</xdr:col>
      <xdr:colOff>384832</xdr:colOff>
      <xdr:row>32</xdr:row>
      <xdr:rowOff>17880</xdr:rowOff>
    </xdr:to>
    <xdr:sp macro="" textlink="">
      <xdr:nvSpPr>
        <xdr:cNvPr id="2" name="Afgeronde rechthoek 1">
          <a:extLst>
            <a:ext uri="{FF2B5EF4-FFF2-40B4-BE49-F238E27FC236}">
              <a16:creationId xmlns:a16="http://schemas.microsoft.com/office/drawing/2014/main" id="{3D6DA465-AE8D-A448-A904-F88D44FDF565}"/>
            </a:ext>
          </a:extLst>
        </xdr:cNvPr>
        <xdr:cNvSpPr/>
      </xdr:nvSpPr>
      <xdr:spPr>
        <a:xfrm>
          <a:off x="10539896" y="6566189"/>
          <a:ext cx="462136" cy="218251"/>
        </a:xfrm>
        <a:prstGeom prst="roundRect">
          <a:avLst>
            <a:gd name="adj" fmla="val 50000"/>
          </a:avLst>
        </a:prstGeom>
        <a:solidFill>
          <a:schemeClr val="accent2">
            <a:alpha val="10000"/>
          </a:schemeClr>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nl-NL" sz="1200">
            <a:solidFill>
              <a:srgbClr val="00A065"/>
            </a:solidFill>
            <a:latin typeface="Inter" panose="02000503000000020004" pitchFamily="2" charset="0"/>
            <a:ea typeface="Inter" panose="02000503000000020004" pitchFamily="2" charset="0"/>
          </a:endParaRPr>
        </a:p>
      </xdr:txBody>
    </xdr:sp>
    <xdr:clientData/>
  </xdr:twoCellAnchor>
</xdr:wsDr>
</file>

<file path=xl/persons/person.xml><?xml version="1.0" encoding="utf-8"?>
<personList xmlns="http://schemas.microsoft.com/office/spreadsheetml/2018/threadedcomments" xmlns:x="http://schemas.openxmlformats.org/spreadsheetml/2006/main">
  <person displayName="Michel | Domogo" id="{0685B4E5-0C47-B546-9C04-8826F9F5EF78}" userId="S::michel@domogo.nl::2162dd4d-6e1e-4d76-97ba-81f2e0bffb65"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S8" dT="2025-05-15T07:45:00.39" personId="{0685B4E5-0C47-B546-9C04-8826F9F5EF78}" id="{97E60F80-A8AC-4BC7-ABA2-1BBF62AAD866}">
    <text>Kosten in 2024 waren gemiddeld  € 0,03. Hierop hanteren de meeste dynamische leveranciers een opslag van € 0,02. Door wijziging naar kwartieren doen wij de aanname dat het gemiddelde met € 0,02 daalt naar € 0,03.</text>
  </threadedComment>
  <threadedComment ref="T8" dT="2025-05-15T07:45:29.11" personId="{0685B4E5-0C47-B546-9C04-8826F9F5EF78}" id="{B53BB982-DB02-4D01-8DF2-6B19574A9234}">
    <text>Kosten in 2024 waren gemiddeld  € 0,13. Hierop hanteren de meeste dynamische leveranciers een opslag van € 0,02. Door wijziging naar kwartieren doen wij de aanname dat het gemiddelde met € 0,02 daalt naar € 0,13.</text>
  </threadedComment>
</ThreadedComments>
</file>

<file path=xl/threadedComments/threadedComment2.xml><?xml version="1.0" encoding="utf-8"?>
<ThreadedComments xmlns="http://schemas.microsoft.com/office/spreadsheetml/2018/threadedcomments" xmlns:x="http://schemas.openxmlformats.org/spreadsheetml/2006/main">
  <threadedComment ref="G12" dT="2025-08-27T12:03:43.57" personId="{0685B4E5-0C47-B546-9C04-8826F9F5EF78}" id="{F0107351-91A7-B349-8456-9BD2C688E207}">
    <text xml:space="preserve">Aangepast omdat in de toekomst een andere instelling van de batterij gekozen kan worden.
</text>
  </threadedComment>
  <threadedComment ref="AD12" dT="2025-05-15T07:45:00.39" personId="{0685B4E5-0C47-B546-9C04-8826F9F5EF78}" id="{82026494-D398-7949-8DF4-742475E78BBC}">
    <text>Kosten in 2024 waren gemiddeld  € 0,03. Hierop hanteren de meeste dynamische leveranciers een opslag van € 0,02. Door wijziging naar kwartieren doen wij de aanname dat het gemiddelde met € 0,02 daalt naar € 0,03.</text>
  </threadedComment>
  <threadedComment ref="AH12" dT="2025-05-15T07:45:29.11" personId="{0685B4E5-0C47-B546-9C04-8826F9F5EF78}" id="{43512634-72B5-104E-AC76-EC8776A5AC88}">
    <text>Kosten in 2024 waren gemiddeld  € 0,13. Hierop hanteren de meeste dynamische leveranciers een opslag van € 0,02. Door wijziging naar kwartieren doen wij de aanname dat het gemiddelde met € 0,02 daalt naar € 0,13.</text>
  </threadedComment>
  <threadedComment ref="AH12" dT="2025-08-16T16:05:40.53" personId="{0685B4E5-0C47-B546-9C04-8826F9F5EF78}" id="{07A7336F-81A8-B14B-97F8-DF0410BF7F9B}" parentId="{43512634-72B5-104E-AC76-EC8776A5AC88}">
    <text>Dynamisch hoog heeft betrekking op teruglevering. Kwartieren heeft positieve impact, daarom van 13 naar 15 cent.</text>
  </threadedComment>
  <threadedComment ref="AL12" dT="2025-05-15T07:45:29.11" personId="{0685B4E5-0C47-B546-9C04-8826F9F5EF78}" id="{49E6AF2B-431E-4367-A9C6-3739AF12E4AB}">
    <text>Kosten in 2024 waren gemiddeld  € 0,13. Hierop hanteren de meeste dynamische leveranciers een opslag van € 0,02. Door wijziging naar kwartieren doen wij de aanname dat het gemiddelde met € 0,02 daalt naar € 0,13.</text>
  </threadedComment>
  <threadedComment ref="AL12" dT="2025-08-16T16:05:40.53" personId="{0685B4E5-0C47-B546-9C04-8826F9F5EF78}" id="{F20597A4-F359-4CE5-AF35-602B3EBC4BE2}" parentId="{49E6AF2B-431E-4367-A9C6-3739AF12E4AB}">
    <text>Dynamisch hoog heeft betrekking op teruglevering. Kwartieren heeft positieve impact, daarom van 13 naar 15 cent.</text>
  </threadedComment>
  <threadedComment ref="G13" dT="2025-08-27T12:03:43.57" personId="{0685B4E5-0C47-B546-9C04-8826F9F5EF78}" id="{B8CAB47D-9FD5-0E49-B1B7-8CA48B8D48F0}">
    <text xml:space="preserve">Aangepast omdat in de toekomst een andere instelling van de batterij gekozen kan worden.
</text>
  </threadedComment>
  <threadedComment ref="AD13" dT="2025-05-15T07:45:00.39" personId="{0685B4E5-0C47-B546-9C04-8826F9F5EF78}" id="{93A4332C-5BA2-4C67-8F13-6587A6A8FA73}">
    <text>Kosten in 2024 waren gemiddeld  € 0,03. Hierop hanteren de meeste dynamische leveranciers een opslag van € 0,02. Door wijziging naar kwartieren doen wij de aanname dat het gemiddelde met € 0,02 daalt naar € 0,03.</text>
  </threadedComment>
  <threadedComment ref="AH13" dT="2025-05-15T07:45:29.11" personId="{0685B4E5-0C47-B546-9C04-8826F9F5EF78}" id="{7670D39B-ABBE-4CFF-88AC-2016972D01E8}">
    <text>Kosten in 2024 waren gemiddeld  € 0,13. Hierop hanteren de meeste dynamische leveranciers een opslag van € 0,02. Door wijziging naar kwartieren doen wij de aanname dat het gemiddelde met € 0,02 daalt naar € 0,13.</text>
  </threadedComment>
  <threadedComment ref="AH13" dT="2025-08-16T16:05:40.53" personId="{0685B4E5-0C47-B546-9C04-8826F9F5EF78}" id="{22CC8CCC-7C29-4E5B-8729-BBFC35DE31AD}" parentId="{7670D39B-ABBE-4CFF-88AC-2016972D01E8}">
    <text>Dynamisch hoog heeft betrekking op teruglevering. Kwartieren heeft positieve impact, daarom van 13 naar 15 cent.</text>
  </threadedComment>
  <threadedComment ref="AL13" dT="2025-05-15T07:45:29.11" personId="{0685B4E5-0C47-B546-9C04-8826F9F5EF78}" id="{D756F8C9-F15D-4288-90A0-774A5674C1B7}">
    <text>Kosten in 2024 waren gemiddeld  € 0,13. Hierop hanteren de meeste dynamische leveranciers een opslag van € 0,02. Door wijziging naar kwartieren doen wij de aanname dat het gemiddelde met € 0,02 daalt naar € 0,13.</text>
  </threadedComment>
  <threadedComment ref="AL13" dT="2025-08-16T16:05:40.53" personId="{0685B4E5-0C47-B546-9C04-8826F9F5EF78}" id="{49105BAE-AB0B-4968-819F-264ACFA1D4B4}" parentId="{D756F8C9-F15D-4288-90A0-774A5674C1B7}">
    <text>Dynamisch hoog heeft betrekking op teruglevering. Kwartieren heeft positieve impact, daarom van 13 naar 15 cent.</text>
  </threadedComment>
  <threadedComment ref="BM13" dT="2025-05-15T07:54:32.83" personId="{0685B4E5-0C47-B546-9C04-8826F9F5EF78}" id="{7B58F12A-5969-B840-8FBD-7A15A75D23FA}">
    <text>De verwachting is dat de vertraging van 5 minuten die Tennet hanteert volgend jaar wordt afgeschaft.</text>
  </threadedComment>
  <threadedComment ref="G14" dT="2025-08-27T12:03:43.57" personId="{0685B4E5-0C47-B546-9C04-8826F9F5EF78}" id="{71D9AE23-9654-4EB3-AA4D-390519A4D80A}">
    <text xml:space="preserve">Aangepast omdat in de toekomst een andere instelling van de batterij gekozen kan worden.
</text>
  </threadedComment>
  <threadedComment ref="AD14" dT="2025-05-15T07:45:00.39" personId="{0685B4E5-0C47-B546-9C04-8826F9F5EF78}" id="{545373B3-E7CA-447E-B7FD-00675CD0D352}">
    <text>Kosten in 2024 waren gemiddeld  € 0,03. Hierop hanteren de meeste dynamische leveranciers een opslag van € 0,02. Door wijziging naar kwartieren doen wij de aanname dat het gemiddelde met € 0,02 daalt naar € 0,03.</text>
  </threadedComment>
  <threadedComment ref="AH14" dT="2025-05-15T07:45:29.11" personId="{0685B4E5-0C47-B546-9C04-8826F9F5EF78}" id="{14F68B0F-E24E-434D-A4C3-9EB13D673427}">
    <text>Kosten in 2024 waren gemiddeld  € 0,13. Hierop hanteren de meeste dynamische leveranciers een opslag van € 0,02. Door wijziging naar kwartieren doen wij de aanname dat het gemiddelde met € 0,02 daalt naar € 0,13.</text>
  </threadedComment>
  <threadedComment ref="AH14" dT="2025-08-16T16:05:40.53" personId="{0685B4E5-0C47-B546-9C04-8826F9F5EF78}" id="{750A4431-B98B-436F-965A-2A0B43C4448E}" parentId="{14F68B0F-E24E-434D-A4C3-9EB13D673427}">
    <text>Dynamisch hoog heeft betrekking op teruglevering. Kwartieren heeft positieve impact, daarom van 13 naar 15 cent.</text>
  </threadedComment>
  <threadedComment ref="AL14" dT="2025-05-15T07:45:29.11" personId="{0685B4E5-0C47-B546-9C04-8826F9F5EF78}" id="{C9D37E3E-3574-47C6-A083-643F295AEDFA}">
    <text>Kosten in 2024 waren gemiddeld  € 0,13. Hierop hanteren de meeste dynamische leveranciers een opslag van € 0,02. Door wijziging naar kwartieren doen wij de aanname dat het gemiddelde met € 0,02 daalt naar € 0,13.</text>
  </threadedComment>
  <threadedComment ref="AL14" dT="2025-08-16T16:05:40.53" personId="{0685B4E5-0C47-B546-9C04-8826F9F5EF78}" id="{AC346551-3050-4B79-8EDC-A56D99CC8DAB}" parentId="{C9D37E3E-3574-47C6-A083-643F295AEDFA}">
    <text>Dynamisch hoog heeft betrekking op teruglevering. Kwartieren heeft positieve impact, daarom van 13 naar 15 cent.</text>
  </threadedComment>
  <threadedComment ref="G15" dT="2025-08-27T12:03:43.57" personId="{0685B4E5-0C47-B546-9C04-8826F9F5EF78}" id="{55A735C7-E421-4110-A7D3-4FD7280D030A}">
    <text xml:space="preserve">Aangepast omdat in de toekomst een andere instelling van de batterij gekozen kan worden.
</text>
  </threadedComment>
  <threadedComment ref="AD15" dT="2025-05-15T07:45:00.39" personId="{0685B4E5-0C47-B546-9C04-8826F9F5EF78}" id="{7FD1A04D-1001-49A2-B0DF-ACC36C17EAAF}">
    <text>Kosten in 2024 waren gemiddeld  € 0,03. Hierop hanteren de meeste dynamische leveranciers een opslag van € 0,02. Door wijziging naar kwartieren doen wij de aanname dat het gemiddelde met € 0,02 daalt naar € 0,03.</text>
  </threadedComment>
  <threadedComment ref="AH15" dT="2025-05-15T07:45:29.11" personId="{0685B4E5-0C47-B546-9C04-8826F9F5EF78}" id="{0D1185C7-4CE5-46DC-B3C1-9D5087CB9748}">
    <text>Kosten in 2024 waren gemiddeld  € 0,13. Hierop hanteren de meeste dynamische leveranciers een opslag van € 0,02. Door wijziging naar kwartieren doen wij de aanname dat het gemiddelde met € 0,02 daalt naar € 0,13.</text>
  </threadedComment>
  <threadedComment ref="AH15" dT="2025-08-16T16:05:40.53" personId="{0685B4E5-0C47-B546-9C04-8826F9F5EF78}" id="{704E8786-F9E3-45A6-B847-D8D230B1F105}" parentId="{0D1185C7-4CE5-46DC-B3C1-9D5087CB9748}">
    <text>Dynamisch hoog heeft betrekking op teruglevering. Kwartieren heeft positieve impact, daarom van 13 naar 15 cent.</text>
  </threadedComment>
  <threadedComment ref="AL15" dT="2025-05-15T07:45:29.11" personId="{0685B4E5-0C47-B546-9C04-8826F9F5EF78}" id="{CAC5E0D5-1845-4920-A756-F13F3C5E17A4}">
    <text>Kosten in 2024 waren gemiddeld  € 0,13. Hierop hanteren de meeste dynamische leveranciers een opslag van € 0,02. Door wijziging naar kwartieren doen wij de aanname dat het gemiddelde met € 0,02 daalt naar € 0,13.</text>
  </threadedComment>
  <threadedComment ref="AL15" dT="2025-08-16T16:05:40.53" personId="{0685B4E5-0C47-B546-9C04-8826F9F5EF78}" id="{7A117AAC-477D-4CD3-AF87-5FE58C80A1B4}" parentId="{CAC5E0D5-1845-4920-A756-F13F3C5E17A4}">
    <text>Dynamisch hoog heeft betrekking op teruglevering. Kwartieren heeft positieve impact, daarom van 13 naar 15 cent.</text>
  </threadedComment>
  <threadedComment ref="G16" dT="2025-08-27T12:03:43.57" personId="{0685B4E5-0C47-B546-9C04-8826F9F5EF78}" id="{004ABD2C-5C48-4B04-9605-97094BC4B374}">
    <text xml:space="preserve">Aangepast omdat in de toekomst een andere instelling van de batterij gekozen kan worden.
</text>
  </threadedComment>
  <threadedComment ref="AD16" dT="2025-05-15T07:45:00.39" personId="{0685B4E5-0C47-B546-9C04-8826F9F5EF78}" id="{DEE7C650-A80F-4217-A115-36C8EED8C64A}">
    <text>Kosten in 2024 waren gemiddeld  € 0,03. Hierop hanteren de meeste dynamische leveranciers een opslag van € 0,02. Door wijziging naar kwartieren doen wij de aanname dat het gemiddelde met € 0,02 daalt naar € 0,03.</text>
  </threadedComment>
  <threadedComment ref="AH16" dT="2025-05-15T07:45:29.11" personId="{0685B4E5-0C47-B546-9C04-8826F9F5EF78}" id="{9DCB8168-7664-498F-B741-B529D444E424}">
    <text>Kosten in 2024 waren gemiddeld  € 0,13. Hierop hanteren de meeste dynamische leveranciers een opslag van € 0,02. Door wijziging naar kwartieren doen wij de aanname dat het gemiddelde met € 0,02 daalt naar € 0,13.</text>
  </threadedComment>
  <threadedComment ref="AH16" dT="2025-08-16T16:05:40.53" personId="{0685B4E5-0C47-B546-9C04-8826F9F5EF78}" id="{6009846D-E8E7-421F-860C-EFF0AD96EC36}" parentId="{9DCB8168-7664-498F-B741-B529D444E424}">
    <text>Dynamisch hoog heeft betrekking op teruglevering. Kwartieren heeft positieve impact, daarom van 13 naar 15 cent.</text>
  </threadedComment>
  <threadedComment ref="AL16" dT="2025-05-15T07:45:29.11" personId="{0685B4E5-0C47-B546-9C04-8826F9F5EF78}" id="{33B06F21-DBF6-40C6-9687-78D24B75161E}">
    <text>Kosten in 2024 waren gemiddeld  € 0,13. Hierop hanteren de meeste dynamische leveranciers een opslag van € 0,02. Door wijziging naar kwartieren doen wij de aanname dat het gemiddelde met € 0,02 daalt naar € 0,13.</text>
  </threadedComment>
  <threadedComment ref="AL16" dT="2025-08-16T16:05:40.53" personId="{0685B4E5-0C47-B546-9C04-8826F9F5EF78}" id="{EC3BF69D-1A43-460A-924C-60FDB67CAFD2}" parentId="{33B06F21-DBF6-40C6-9687-78D24B75161E}">
    <text>Dynamisch hoog heeft betrekking op teruglevering. Kwartieren heeft positieve impact, daarom van 13 naar 15 cent.</text>
  </threadedComment>
  <threadedComment ref="G17" dT="2025-08-27T12:03:43.57" personId="{0685B4E5-0C47-B546-9C04-8826F9F5EF78}" id="{6D3A62F1-A36F-4E91-A856-80B057E38251}">
    <text xml:space="preserve">Aangepast omdat in de toekomst een andere instelling van de batterij gekozen kan worden.
</text>
  </threadedComment>
  <threadedComment ref="AD17" dT="2025-05-15T07:45:00.39" personId="{0685B4E5-0C47-B546-9C04-8826F9F5EF78}" id="{C5458545-DDE5-48C8-9E3E-005FDD7B04A7}">
    <text>Kosten in 2024 waren gemiddeld  € 0,03. Hierop hanteren de meeste dynamische leveranciers een opslag van € 0,02. Door wijziging naar kwartieren doen wij de aanname dat het gemiddelde met € 0,02 daalt naar € 0,03.</text>
  </threadedComment>
  <threadedComment ref="AH17" dT="2025-05-15T07:45:29.11" personId="{0685B4E5-0C47-B546-9C04-8826F9F5EF78}" id="{573FF74F-E626-4EBA-8C42-8767A8E971BC}">
    <text>Kosten in 2024 waren gemiddeld  € 0,13. Hierop hanteren de meeste dynamische leveranciers een opslag van € 0,02. Door wijziging naar kwartieren doen wij de aanname dat het gemiddelde met € 0,02 daalt naar € 0,13.</text>
  </threadedComment>
  <threadedComment ref="AH17" dT="2025-08-16T16:05:40.53" personId="{0685B4E5-0C47-B546-9C04-8826F9F5EF78}" id="{221A6738-C1FC-49BE-9663-79205C83AACF}" parentId="{573FF74F-E626-4EBA-8C42-8767A8E971BC}">
    <text>Dynamisch hoog heeft betrekking op teruglevering. Kwartieren heeft positieve impact, daarom van 13 naar 15 cent.</text>
  </threadedComment>
  <threadedComment ref="AL17" dT="2025-05-15T07:45:29.11" personId="{0685B4E5-0C47-B546-9C04-8826F9F5EF78}" id="{0414AA01-2231-44D2-9007-8728E589EA20}">
    <text>Kosten in 2024 waren gemiddeld  € 0,13. Hierop hanteren de meeste dynamische leveranciers een opslag van € 0,02. Door wijziging naar kwartieren doen wij de aanname dat het gemiddelde met € 0,02 daalt naar € 0,13.</text>
  </threadedComment>
  <threadedComment ref="AL17" dT="2025-08-16T16:05:40.53" personId="{0685B4E5-0C47-B546-9C04-8826F9F5EF78}" id="{6D8F6E40-DA9F-4D56-98FE-1F35B4D3868F}" parentId="{0414AA01-2231-44D2-9007-8728E589EA20}">
    <text>Dynamisch hoog heeft betrekking op teruglevering. Kwartieren heeft positieve impact, daarom van 13 naar 15 cent.</text>
  </threadedComment>
  <threadedComment ref="G18" dT="2025-08-27T12:03:43.57" personId="{0685B4E5-0C47-B546-9C04-8826F9F5EF78}" id="{E484CC2F-FA1A-4BB5-AC3C-43D57FD7E264}">
    <text xml:space="preserve">Aangepast omdat in de toekomst een andere instelling van de batterij gekozen kan worden.
</text>
  </threadedComment>
  <threadedComment ref="AD18" dT="2025-05-15T07:45:00.39" personId="{0685B4E5-0C47-B546-9C04-8826F9F5EF78}" id="{555D8F45-EAD8-4F20-B8AA-4603AAD5A593}">
    <text>Kosten in 2024 waren gemiddeld  € 0,03. Hierop hanteren de meeste dynamische leveranciers een opslag van € 0,02. Door wijziging naar kwartieren doen wij de aanname dat het gemiddelde met € 0,02 daalt naar € 0,03.</text>
  </threadedComment>
  <threadedComment ref="AH18" dT="2025-05-15T07:45:29.11" personId="{0685B4E5-0C47-B546-9C04-8826F9F5EF78}" id="{2C029AC7-FE51-439A-834F-4377143EC90A}">
    <text>Kosten in 2024 waren gemiddeld  € 0,13. Hierop hanteren de meeste dynamische leveranciers een opslag van € 0,02. Door wijziging naar kwartieren doen wij de aanname dat het gemiddelde met € 0,02 daalt naar € 0,13.</text>
  </threadedComment>
  <threadedComment ref="AH18" dT="2025-08-16T16:05:40.53" personId="{0685B4E5-0C47-B546-9C04-8826F9F5EF78}" id="{00443878-6BD8-43E8-B3E5-B2B55469E637}" parentId="{2C029AC7-FE51-439A-834F-4377143EC90A}">
    <text>Dynamisch hoog heeft betrekking op teruglevering. Kwartieren heeft positieve impact, daarom van 13 naar 15 cent.</text>
  </threadedComment>
  <threadedComment ref="AL18" dT="2025-05-15T07:45:29.11" personId="{0685B4E5-0C47-B546-9C04-8826F9F5EF78}" id="{55E436D9-ED6C-438A-B042-FBC45E182465}">
    <text>Kosten in 2024 waren gemiddeld  € 0,13. Hierop hanteren de meeste dynamische leveranciers een opslag van € 0,02. Door wijziging naar kwartieren doen wij de aanname dat het gemiddelde met € 0,02 daalt naar € 0,13.</text>
  </threadedComment>
  <threadedComment ref="AL18" dT="2025-08-16T16:05:40.53" personId="{0685B4E5-0C47-B546-9C04-8826F9F5EF78}" id="{3DB4CB27-535E-499F-B963-3B1F4D348C3B}" parentId="{55E436D9-ED6C-438A-B042-FBC45E182465}">
    <text>Dynamisch hoog heeft betrekking op teruglevering. Kwartieren heeft positieve impact, daarom van 13 naar 15 cent.</text>
  </threadedComment>
  <threadedComment ref="G19" dT="2025-08-27T12:03:43.57" personId="{0685B4E5-0C47-B546-9C04-8826F9F5EF78}" id="{03E4C916-4EC0-4168-9804-409D711F30B3}">
    <text xml:space="preserve">Aangepast omdat in de toekomst een andere instelling van de batterij gekozen kan worden.
</text>
  </threadedComment>
  <threadedComment ref="AD19" dT="2025-05-15T07:45:00.39" personId="{0685B4E5-0C47-B546-9C04-8826F9F5EF78}" id="{0C04B830-17BE-43F0-8E15-274E378616C0}">
    <text>Kosten in 2024 waren gemiddeld  € 0,03. Hierop hanteren de meeste dynamische leveranciers een opslag van € 0,02. Door wijziging naar kwartieren doen wij de aanname dat het gemiddelde met € 0,02 daalt naar € 0,03.</text>
  </threadedComment>
  <threadedComment ref="AH19" dT="2025-05-15T07:45:29.11" personId="{0685B4E5-0C47-B546-9C04-8826F9F5EF78}" id="{3C1DD356-91C7-43F2-B97D-B74C2715411A}">
    <text>Kosten in 2024 waren gemiddeld  € 0,13. Hierop hanteren de meeste dynamische leveranciers een opslag van € 0,02. Door wijziging naar kwartieren doen wij de aanname dat het gemiddelde met € 0,02 daalt naar € 0,13.</text>
  </threadedComment>
  <threadedComment ref="AH19" dT="2025-08-16T16:05:40.53" personId="{0685B4E5-0C47-B546-9C04-8826F9F5EF78}" id="{A38D20F7-5297-4A15-8976-2F4E326BADFD}" parentId="{3C1DD356-91C7-43F2-B97D-B74C2715411A}">
    <text>Dynamisch hoog heeft betrekking op teruglevering. Kwartieren heeft positieve impact, daarom van 13 naar 15 cent.</text>
  </threadedComment>
  <threadedComment ref="AL19" dT="2025-05-15T07:45:29.11" personId="{0685B4E5-0C47-B546-9C04-8826F9F5EF78}" id="{94C5CDBA-805D-4AC4-BBB3-F45C4A526D96}">
    <text>Kosten in 2024 waren gemiddeld  € 0,13. Hierop hanteren de meeste dynamische leveranciers een opslag van € 0,02. Door wijziging naar kwartieren doen wij de aanname dat het gemiddelde met € 0,02 daalt naar € 0,13.</text>
  </threadedComment>
  <threadedComment ref="AL19" dT="2025-08-16T16:05:40.53" personId="{0685B4E5-0C47-B546-9C04-8826F9F5EF78}" id="{79E020E0-6596-4797-9D47-EA13FA8C383B}" parentId="{94C5CDBA-805D-4AC4-BBB3-F45C4A526D96}">
    <text>Dynamisch hoog heeft betrekking op teruglevering. Kwartieren heeft positieve impact, daarom van 13 naar 15 cent.</text>
  </threadedComment>
  <threadedComment ref="G20" dT="2025-08-27T12:03:43.57" personId="{0685B4E5-0C47-B546-9C04-8826F9F5EF78}" id="{D6E09AA8-5E99-4D2D-8F35-D8B1129CE598}">
    <text xml:space="preserve">Aangepast omdat in de toekomst een andere instelling van de batterij gekozen kan worden.
</text>
  </threadedComment>
  <threadedComment ref="AD20" dT="2025-05-15T07:45:00.39" personId="{0685B4E5-0C47-B546-9C04-8826F9F5EF78}" id="{D99E7EF0-5221-4500-826C-C260A2B037F4}">
    <text>Kosten in 2024 waren gemiddeld  € 0,03. Hierop hanteren de meeste dynamische leveranciers een opslag van € 0,02. Door wijziging naar kwartieren doen wij de aanname dat het gemiddelde met € 0,02 daalt naar € 0,03.</text>
  </threadedComment>
  <threadedComment ref="AH20" dT="2025-05-15T07:45:29.11" personId="{0685B4E5-0C47-B546-9C04-8826F9F5EF78}" id="{9CAF3B2D-01C7-448D-8B5E-0FC0233D2C53}">
    <text>Kosten in 2024 waren gemiddeld  € 0,13. Hierop hanteren de meeste dynamische leveranciers een opslag van € 0,02. Door wijziging naar kwartieren doen wij de aanname dat het gemiddelde met € 0,02 daalt naar € 0,13.</text>
  </threadedComment>
  <threadedComment ref="AH20" dT="2025-08-16T16:05:40.53" personId="{0685B4E5-0C47-B546-9C04-8826F9F5EF78}" id="{9D5C9B72-736E-4093-9B8D-EE363EB9CC89}" parentId="{9CAF3B2D-01C7-448D-8B5E-0FC0233D2C53}">
    <text>Dynamisch hoog heeft betrekking op teruglevering. Kwartieren heeft positieve impact, daarom van 13 naar 15 cent.</text>
  </threadedComment>
  <threadedComment ref="AL20" dT="2025-05-15T07:45:29.11" personId="{0685B4E5-0C47-B546-9C04-8826F9F5EF78}" id="{DD0A1925-87FA-4288-B24E-EC113AE9D844}">
    <text>Kosten in 2024 waren gemiddeld  € 0,13. Hierop hanteren de meeste dynamische leveranciers een opslag van € 0,02. Door wijziging naar kwartieren doen wij de aanname dat het gemiddelde met € 0,02 daalt naar € 0,13.</text>
  </threadedComment>
  <threadedComment ref="AL20" dT="2025-08-16T16:05:40.53" personId="{0685B4E5-0C47-B546-9C04-8826F9F5EF78}" id="{CEAEDD83-9A74-4ACA-9D31-9ED87C112B86}" parentId="{DD0A1925-87FA-4288-B24E-EC113AE9D844}">
    <text>Dynamisch hoog heeft betrekking op teruglevering. Kwartieren heeft positieve impact, daarom van 13 naar 15 cent.</text>
  </threadedComment>
  <threadedComment ref="G21" dT="2025-08-27T12:03:43.57" personId="{0685B4E5-0C47-B546-9C04-8826F9F5EF78}" id="{508B49D9-F613-49D0-BEE7-664D7AB76FF3}">
    <text xml:space="preserve">Aangepast omdat in de toekomst een andere instelling van de batterij gekozen kan worden.
</text>
  </threadedComment>
  <threadedComment ref="AD21" dT="2025-05-15T07:45:00.39" personId="{0685B4E5-0C47-B546-9C04-8826F9F5EF78}" id="{362D18D3-AF75-48C7-8D7F-643070302254}">
    <text>Kosten in 2024 waren gemiddeld  € 0,03. Hierop hanteren de meeste dynamische leveranciers een opslag van € 0,02. Door wijziging naar kwartieren doen wij de aanname dat het gemiddelde met € 0,02 daalt naar € 0,03.</text>
  </threadedComment>
  <threadedComment ref="AH21" dT="2025-05-15T07:45:29.11" personId="{0685B4E5-0C47-B546-9C04-8826F9F5EF78}" id="{DC9A6733-B823-4F22-972E-72244FEEF181}">
    <text>Kosten in 2024 waren gemiddeld  € 0,13. Hierop hanteren de meeste dynamische leveranciers een opslag van € 0,02. Door wijziging naar kwartieren doen wij de aanname dat het gemiddelde met € 0,02 daalt naar € 0,13.</text>
  </threadedComment>
  <threadedComment ref="AH21" dT="2025-08-16T16:05:40.53" personId="{0685B4E5-0C47-B546-9C04-8826F9F5EF78}" id="{D29FFB3B-B7F7-45AE-8A22-FA7424302BC9}" parentId="{DC9A6733-B823-4F22-972E-72244FEEF181}">
    <text>Dynamisch hoog heeft betrekking op teruglevering. Kwartieren heeft positieve impact, daarom van 13 naar 15 cent.</text>
  </threadedComment>
  <threadedComment ref="AL21" dT="2025-05-15T07:45:29.11" personId="{0685B4E5-0C47-B546-9C04-8826F9F5EF78}" id="{00322470-DBEC-49A2-B8DF-E89B71A8E1A0}">
    <text>Kosten in 2024 waren gemiddeld  € 0,13. Hierop hanteren de meeste dynamische leveranciers een opslag van € 0,02. Door wijziging naar kwartieren doen wij de aanname dat het gemiddelde met € 0,02 daalt naar € 0,13.</text>
  </threadedComment>
  <threadedComment ref="AL21" dT="2025-08-16T16:05:40.53" personId="{0685B4E5-0C47-B546-9C04-8826F9F5EF78}" id="{8D86335F-2110-46F0-A3C6-4FC00FD72558}" parentId="{00322470-DBEC-49A2-B8DF-E89B71A8E1A0}">
    <text>Dynamisch hoog heeft betrekking op teruglevering. Kwartieren heeft positieve impact, daarom van 13 naar 15 cent.</text>
  </threadedComment>
  <threadedComment ref="G22" dT="2025-08-27T12:03:43.57" personId="{0685B4E5-0C47-B546-9C04-8826F9F5EF78}" id="{F80FB1A1-1B79-4CBD-AF28-87C9406E5292}">
    <text xml:space="preserve">Aangepast omdat in de toekomst een andere instelling van de batterij gekozen kan worden.
</text>
  </threadedComment>
  <threadedComment ref="AD22" dT="2025-05-15T07:45:00.39" personId="{0685B4E5-0C47-B546-9C04-8826F9F5EF78}" id="{FFFF5A57-B418-4EBD-BF5A-FF6B8780C677}">
    <text>Kosten in 2024 waren gemiddeld  € 0,03. Hierop hanteren de meeste dynamische leveranciers een opslag van € 0,02. Door wijziging naar kwartieren doen wij de aanname dat het gemiddelde met € 0,02 daalt naar € 0,03.</text>
  </threadedComment>
  <threadedComment ref="AH22" dT="2025-05-15T07:45:29.11" personId="{0685B4E5-0C47-B546-9C04-8826F9F5EF78}" id="{2C17AAAE-F813-4CB7-A1C0-CAC9ADC4304B}">
    <text>Kosten in 2024 waren gemiddeld  € 0,13. Hierop hanteren de meeste dynamische leveranciers een opslag van € 0,02. Door wijziging naar kwartieren doen wij de aanname dat het gemiddelde met € 0,02 daalt naar € 0,13.</text>
  </threadedComment>
  <threadedComment ref="AH22" dT="2025-08-16T16:05:40.53" personId="{0685B4E5-0C47-B546-9C04-8826F9F5EF78}" id="{36B66C00-397C-43E2-A981-024811F58FDF}" parentId="{2C17AAAE-F813-4CB7-A1C0-CAC9ADC4304B}">
    <text>Dynamisch hoog heeft betrekking op teruglevering. Kwartieren heeft positieve impact, daarom van 13 naar 15 cent.</text>
  </threadedComment>
  <threadedComment ref="AL22" dT="2025-05-15T07:45:29.11" personId="{0685B4E5-0C47-B546-9C04-8826F9F5EF78}" id="{7B0BFCA7-AF75-4626-B2C6-14342CF89ACE}">
    <text>Kosten in 2024 waren gemiddeld  € 0,13. Hierop hanteren de meeste dynamische leveranciers een opslag van € 0,02. Door wijziging naar kwartieren doen wij de aanname dat het gemiddelde met € 0,02 daalt naar € 0,13.</text>
  </threadedComment>
  <threadedComment ref="AL22" dT="2025-08-16T16:05:40.53" personId="{0685B4E5-0C47-B546-9C04-8826F9F5EF78}" id="{B2EE6134-616C-4685-B713-39ADC801AF98}" parentId="{7B0BFCA7-AF75-4626-B2C6-14342CF89ACE}">
    <text>Dynamisch hoog heeft betrekking op teruglevering. Kwartieren heeft positieve impact, daarom van 13 naar 15 cent.</text>
  </threadedComment>
  <threadedComment ref="G23" dT="2025-08-27T12:03:43.57" personId="{0685B4E5-0C47-B546-9C04-8826F9F5EF78}" id="{90EB5BD8-DC69-4E11-93D8-5496FC2B7456}">
    <text xml:space="preserve">Aangepast omdat in de toekomst een andere instelling van de batterij gekozen kan worden.
</text>
  </threadedComment>
  <threadedComment ref="AD23" dT="2025-05-15T07:45:00.39" personId="{0685B4E5-0C47-B546-9C04-8826F9F5EF78}" id="{8F9AFF50-CD98-4602-8CE4-ABED297C8DA8}">
    <text>Kosten in 2024 waren gemiddeld  € 0,03. Hierop hanteren de meeste dynamische leveranciers een opslag van € 0,02. Door wijziging naar kwartieren doen wij de aanname dat het gemiddelde met € 0,02 daalt naar € 0,03.</text>
  </threadedComment>
  <threadedComment ref="AH23" dT="2025-05-15T07:45:29.11" personId="{0685B4E5-0C47-B546-9C04-8826F9F5EF78}" id="{935BBEEC-B8D6-474B-8B16-258BBC924BB3}">
    <text>Kosten in 2024 waren gemiddeld  € 0,13. Hierop hanteren de meeste dynamische leveranciers een opslag van € 0,02. Door wijziging naar kwartieren doen wij de aanname dat het gemiddelde met € 0,02 daalt naar € 0,13.</text>
  </threadedComment>
  <threadedComment ref="AH23" dT="2025-08-16T16:05:40.53" personId="{0685B4E5-0C47-B546-9C04-8826F9F5EF78}" id="{4778254B-D689-4CE3-9E3D-BB79BD850C30}" parentId="{935BBEEC-B8D6-474B-8B16-258BBC924BB3}">
    <text>Dynamisch hoog heeft betrekking op teruglevering. Kwartieren heeft positieve impact, daarom van 13 naar 15 cent.</text>
  </threadedComment>
  <threadedComment ref="AL23" dT="2025-05-15T07:45:29.11" personId="{0685B4E5-0C47-B546-9C04-8826F9F5EF78}" id="{45ED468E-CB13-4B90-AD5D-2A4F1D4E532B}">
    <text>Kosten in 2024 waren gemiddeld  € 0,13. Hierop hanteren de meeste dynamische leveranciers een opslag van € 0,02. Door wijziging naar kwartieren doen wij de aanname dat het gemiddelde met € 0,02 daalt naar € 0,13.</text>
  </threadedComment>
  <threadedComment ref="AL23" dT="2025-08-16T16:05:40.53" personId="{0685B4E5-0C47-B546-9C04-8826F9F5EF78}" id="{A8B1E051-116E-4E0D-8722-F44DD78B90CA}" parentId="{45ED468E-CB13-4B90-AD5D-2A4F1D4E532B}">
    <text>Dynamisch hoog heeft betrekking op teruglevering. Kwartieren heeft positieve impact, daarom van 13 naar 15 cent.</text>
  </threadedComment>
  <threadedComment ref="G24" dT="2025-08-27T12:03:43.57" personId="{0685B4E5-0C47-B546-9C04-8826F9F5EF78}" id="{F6834B60-8E50-47D7-968C-DD0E7158346A}">
    <text xml:space="preserve">Aangepast omdat in de toekomst een andere instelling van de batterij gekozen kan worden.
</text>
  </threadedComment>
  <threadedComment ref="AD24" dT="2025-05-15T07:45:00.39" personId="{0685B4E5-0C47-B546-9C04-8826F9F5EF78}" id="{5EC9EFC1-712B-4968-9515-E25248DDEFF0}">
    <text>Kosten in 2024 waren gemiddeld  € 0,03. Hierop hanteren de meeste dynamische leveranciers een opslag van € 0,02. Door wijziging naar kwartieren doen wij de aanname dat het gemiddelde met € 0,02 daalt naar € 0,03.</text>
  </threadedComment>
  <threadedComment ref="AH24" dT="2025-05-15T07:45:29.11" personId="{0685B4E5-0C47-B546-9C04-8826F9F5EF78}" id="{6ADA8E72-CC57-42B5-865F-01BAAEC94870}">
    <text>Kosten in 2024 waren gemiddeld  € 0,13. Hierop hanteren de meeste dynamische leveranciers een opslag van € 0,02. Door wijziging naar kwartieren doen wij de aanname dat het gemiddelde met € 0,02 daalt naar € 0,13.</text>
  </threadedComment>
  <threadedComment ref="AH24" dT="2025-08-16T16:05:40.53" personId="{0685B4E5-0C47-B546-9C04-8826F9F5EF78}" id="{CCBE1F6F-9F8A-4C06-BCE0-9EE312A5098C}" parentId="{6ADA8E72-CC57-42B5-865F-01BAAEC94870}">
    <text>Dynamisch hoog heeft betrekking op teruglevering. Kwartieren heeft positieve impact, daarom van 13 naar 15 cent.</text>
  </threadedComment>
  <threadedComment ref="AL24" dT="2025-05-15T07:45:29.11" personId="{0685B4E5-0C47-B546-9C04-8826F9F5EF78}" id="{C471179F-45A9-4B37-93AF-0A4ABCB4581A}">
    <text>Kosten in 2024 waren gemiddeld  € 0,13. Hierop hanteren de meeste dynamische leveranciers een opslag van € 0,02. Door wijziging naar kwartieren doen wij de aanname dat het gemiddelde met € 0,02 daalt naar € 0,13.</text>
  </threadedComment>
  <threadedComment ref="AL24" dT="2025-08-16T16:05:40.53" personId="{0685B4E5-0C47-B546-9C04-8826F9F5EF78}" id="{853D5C51-A3F7-4869-9207-E2E352BE516A}" parentId="{C471179F-45A9-4B37-93AF-0A4ABCB4581A}">
    <text>Dynamisch hoog heeft betrekking op teruglevering. Kwartieren heeft positieve impact, daarom van 13 naar 15 cent.</text>
  </threadedComment>
  <threadedComment ref="G25" dT="2025-08-27T12:03:43.57" personId="{0685B4E5-0C47-B546-9C04-8826F9F5EF78}" id="{91FB0B0E-31EF-4EBA-B197-E0BB46BFB17B}">
    <text xml:space="preserve">Aangepast omdat in de toekomst een andere instelling van de batterij gekozen kan worden.
</text>
  </threadedComment>
  <threadedComment ref="AD25" dT="2025-05-15T07:45:00.39" personId="{0685B4E5-0C47-B546-9C04-8826F9F5EF78}" id="{89AEDC31-5108-4697-B98C-6B7DCA1370E0}">
    <text>Kosten in 2024 waren gemiddeld  € 0,03. Hierop hanteren de meeste dynamische leveranciers een opslag van € 0,02. Door wijziging naar kwartieren doen wij de aanname dat het gemiddelde met € 0,02 daalt naar € 0,03.</text>
  </threadedComment>
  <threadedComment ref="AH25" dT="2025-05-15T07:45:29.11" personId="{0685B4E5-0C47-B546-9C04-8826F9F5EF78}" id="{D5FBBD62-44A1-4708-9EB0-A298F14D9E7D}">
    <text>Kosten in 2024 waren gemiddeld  € 0,13. Hierop hanteren de meeste dynamische leveranciers een opslag van € 0,02. Door wijziging naar kwartieren doen wij de aanname dat het gemiddelde met € 0,02 daalt naar € 0,13.</text>
  </threadedComment>
  <threadedComment ref="AH25" dT="2025-08-16T16:05:40.53" personId="{0685B4E5-0C47-B546-9C04-8826F9F5EF78}" id="{7EF237D1-D8F7-4C5D-B0D1-2959BFF7ED1A}" parentId="{D5FBBD62-44A1-4708-9EB0-A298F14D9E7D}">
    <text>Dynamisch hoog heeft betrekking op teruglevering. Kwartieren heeft positieve impact, daarom van 13 naar 15 cent.</text>
  </threadedComment>
  <threadedComment ref="AL25" dT="2025-05-15T07:45:29.11" personId="{0685B4E5-0C47-B546-9C04-8826F9F5EF78}" id="{17F9D06F-9E90-4013-85C4-A14E1B1A5FF9}">
    <text>Kosten in 2024 waren gemiddeld  € 0,13. Hierop hanteren de meeste dynamische leveranciers een opslag van € 0,02. Door wijziging naar kwartieren doen wij de aanname dat het gemiddelde met € 0,02 daalt naar € 0,13.</text>
  </threadedComment>
  <threadedComment ref="AL25" dT="2025-08-16T16:05:40.53" personId="{0685B4E5-0C47-B546-9C04-8826F9F5EF78}" id="{00EC4CF0-34F6-42F6-BA60-C9A8162CB916}" parentId="{17F9D06F-9E90-4013-85C4-A14E1B1A5FF9}">
    <text>Dynamisch hoog heeft betrekking op teruglevering. Kwartieren heeft positieve impact, daarom van 13 naar 15 cent.</text>
  </threadedComment>
  <threadedComment ref="G26" dT="2025-08-27T12:03:43.57" personId="{0685B4E5-0C47-B546-9C04-8826F9F5EF78}" id="{B7196FC2-A71A-4387-93BE-39E3EF0A9C82}">
    <text xml:space="preserve">Aangepast omdat in de toekomst een andere instelling van de batterij gekozen kan worden.
</text>
  </threadedComment>
  <threadedComment ref="AD26" dT="2025-05-15T07:45:00.39" personId="{0685B4E5-0C47-B546-9C04-8826F9F5EF78}" id="{03B75EE0-D5FC-44A5-86BB-D68699FFC946}">
    <text>Kosten in 2024 waren gemiddeld  € 0,03. Hierop hanteren de meeste dynamische leveranciers een opslag van € 0,02. Door wijziging naar kwartieren doen wij de aanname dat het gemiddelde met € 0,02 daalt naar € 0,03.</text>
  </threadedComment>
  <threadedComment ref="AH26" dT="2025-05-15T07:45:29.11" personId="{0685B4E5-0C47-B546-9C04-8826F9F5EF78}" id="{C70E7034-7A04-4CF5-8EC8-940D54C56A11}">
    <text>Kosten in 2024 waren gemiddeld  € 0,13. Hierop hanteren de meeste dynamische leveranciers een opslag van € 0,02. Door wijziging naar kwartieren doen wij de aanname dat het gemiddelde met € 0,02 daalt naar € 0,13.</text>
  </threadedComment>
  <threadedComment ref="AH26" dT="2025-08-16T16:05:40.53" personId="{0685B4E5-0C47-B546-9C04-8826F9F5EF78}" id="{2A7F08FA-CC93-4545-8A41-DE97BF5729D1}" parentId="{C70E7034-7A04-4CF5-8EC8-940D54C56A11}">
    <text>Dynamisch hoog heeft betrekking op teruglevering. Kwartieren heeft positieve impact, daarom van 13 naar 15 cent.</text>
  </threadedComment>
  <threadedComment ref="AL26" dT="2025-05-15T07:45:29.11" personId="{0685B4E5-0C47-B546-9C04-8826F9F5EF78}" id="{2AF92926-CB1E-47EB-9215-E552D16558D5}">
    <text>Kosten in 2024 waren gemiddeld  € 0,13. Hierop hanteren de meeste dynamische leveranciers een opslag van € 0,02. Door wijziging naar kwartieren doen wij de aanname dat het gemiddelde met € 0,02 daalt naar € 0,13.</text>
  </threadedComment>
  <threadedComment ref="AL26" dT="2025-08-16T16:05:40.53" personId="{0685B4E5-0C47-B546-9C04-8826F9F5EF78}" id="{540292F5-63C5-4678-8FFC-A8FF15663BE3}" parentId="{2AF92926-CB1E-47EB-9215-E552D16558D5}">
    <text>Dynamisch hoog heeft betrekking op teruglevering. Kwartieren heeft positieve impact, daarom van 13 naar 15 cent.</text>
  </threadedComment>
  <threadedComment ref="G27" dT="2025-08-27T12:03:43.57" personId="{0685B4E5-0C47-B546-9C04-8826F9F5EF78}" id="{C714A6B5-D89D-405F-A66D-98958594C884}">
    <text xml:space="preserve">Aangepast omdat in de toekomst een andere instelling van de batterij gekozen kan worden.
</text>
  </threadedComment>
  <threadedComment ref="AD27" dT="2025-05-15T07:45:00.39" personId="{0685B4E5-0C47-B546-9C04-8826F9F5EF78}" id="{C3CC3D30-04A9-4F60-B9E9-E1A033ABB6A9}">
    <text>Kosten in 2024 waren gemiddeld  € 0,03. Hierop hanteren de meeste dynamische leveranciers een opslag van € 0,02. Door wijziging naar kwartieren doen wij de aanname dat het gemiddelde met € 0,02 daalt naar € 0,03.</text>
  </threadedComment>
  <threadedComment ref="AH27" dT="2025-05-15T07:45:29.11" personId="{0685B4E5-0C47-B546-9C04-8826F9F5EF78}" id="{B0383965-5EAD-4570-87FB-78BE190260F0}">
    <text>Kosten in 2024 waren gemiddeld  € 0,13. Hierop hanteren de meeste dynamische leveranciers een opslag van € 0,02. Door wijziging naar kwartieren doen wij de aanname dat het gemiddelde met € 0,02 daalt naar € 0,13.</text>
  </threadedComment>
  <threadedComment ref="AH27" dT="2025-08-16T16:05:40.53" personId="{0685B4E5-0C47-B546-9C04-8826F9F5EF78}" id="{AD172AD2-0BBC-4E7B-A8B1-B6217BF73A97}" parentId="{B0383965-5EAD-4570-87FB-78BE190260F0}">
    <text>Dynamisch hoog heeft betrekking op teruglevering. Kwartieren heeft positieve impact, daarom van 13 naar 15 cent.</text>
  </threadedComment>
  <threadedComment ref="AL27" dT="2025-05-15T07:45:29.11" personId="{0685B4E5-0C47-B546-9C04-8826F9F5EF78}" id="{162D0B79-288B-46BA-80B0-72F03F6CD606}">
    <text>Kosten in 2024 waren gemiddeld  € 0,13. Hierop hanteren de meeste dynamische leveranciers een opslag van € 0,02. Door wijziging naar kwartieren doen wij de aanname dat het gemiddelde met € 0,02 daalt naar € 0,13.</text>
  </threadedComment>
  <threadedComment ref="AL27" dT="2025-08-16T16:05:40.53" personId="{0685B4E5-0C47-B546-9C04-8826F9F5EF78}" id="{5C06BAF1-C15D-461E-98F0-60EAE5030BF2}" parentId="{162D0B79-288B-46BA-80B0-72F03F6CD606}">
    <text>Dynamisch hoog heeft betrekking op teruglevering. Kwartieren heeft positieve impact, daarom van 13 naar 15 cent.</text>
  </threadedComment>
  <threadedComment ref="G28" dT="2025-08-27T12:03:43.57" personId="{0685B4E5-0C47-B546-9C04-8826F9F5EF78}" id="{BB6540DE-08EC-4DF4-82EB-89F0E6C3A10F}">
    <text xml:space="preserve">Aangepast omdat in de toekomst een andere instelling van de batterij gekozen kan worden.
</text>
  </threadedComment>
  <threadedComment ref="AD28" dT="2025-05-15T07:45:00.39" personId="{0685B4E5-0C47-B546-9C04-8826F9F5EF78}" id="{3E4FD712-5F45-441B-BC61-20FD822D70E4}">
    <text>Kosten in 2024 waren gemiddeld  € 0,03. Hierop hanteren de meeste dynamische leveranciers een opslag van € 0,02. Door wijziging naar kwartieren doen wij de aanname dat het gemiddelde met € 0,02 daalt naar € 0,03.</text>
  </threadedComment>
  <threadedComment ref="AH28" dT="2025-05-15T07:45:29.11" personId="{0685B4E5-0C47-B546-9C04-8826F9F5EF78}" id="{600123BD-B2E1-4038-AA4C-059AE9E643B3}">
    <text>Kosten in 2024 waren gemiddeld  € 0,13. Hierop hanteren de meeste dynamische leveranciers een opslag van € 0,02. Door wijziging naar kwartieren doen wij de aanname dat het gemiddelde met € 0,02 daalt naar € 0,13.</text>
  </threadedComment>
  <threadedComment ref="AH28" dT="2025-08-16T16:05:40.53" personId="{0685B4E5-0C47-B546-9C04-8826F9F5EF78}" id="{26B98B9B-08E9-4674-B26F-A7AB11975076}" parentId="{600123BD-B2E1-4038-AA4C-059AE9E643B3}">
    <text>Dynamisch hoog heeft betrekking op teruglevering. Kwartieren heeft positieve impact, daarom van 13 naar 15 cent.</text>
  </threadedComment>
  <threadedComment ref="AL28" dT="2025-05-15T07:45:29.11" personId="{0685B4E5-0C47-B546-9C04-8826F9F5EF78}" id="{76D6C084-4953-4EA7-BF07-73755E590FCE}">
    <text>Kosten in 2024 waren gemiddeld  € 0,13. Hierop hanteren de meeste dynamische leveranciers een opslag van € 0,02. Door wijziging naar kwartieren doen wij de aanname dat het gemiddelde met € 0,02 daalt naar € 0,13.</text>
  </threadedComment>
  <threadedComment ref="AL28" dT="2025-08-16T16:05:40.53" personId="{0685B4E5-0C47-B546-9C04-8826F9F5EF78}" id="{0DD60EFC-4310-436A-9770-9B41FE9E4749}" parentId="{76D6C084-4953-4EA7-BF07-73755E590FCE}">
    <text>Dynamisch hoog heeft betrekking op teruglevering. Kwartieren heeft positieve impact, daarom van 13 naar 15 cent.</text>
  </threadedComment>
  <threadedComment ref="G29" dT="2025-08-27T12:03:43.57" personId="{0685B4E5-0C47-B546-9C04-8826F9F5EF78}" id="{2E08BD57-D678-4E56-B661-7E035BA3F4B0}">
    <text xml:space="preserve">Aangepast omdat in de toekomst een andere instelling van de batterij gekozen kan worden.
</text>
  </threadedComment>
  <threadedComment ref="AD29" dT="2025-05-15T07:45:00.39" personId="{0685B4E5-0C47-B546-9C04-8826F9F5EF78}" id="{6EDA11A6-9890-46BA-A88E-9A460A726531}">
    <text>Kosten in 2024 waren gemiddeld  € 0,03. Hierop hanteren de meeste dynamische leveranciers een opslag van € 0,02. Door wijziging naar kwartieren doen wij de aanname dat het gemiddelde met € 0,02 daalt naar € 0,03.</text>
  </threadedComment>
  <threadedComment ref="AH29" dT="2025-05-15T07:45:29.11" personId="{0685B4E5-0C47-B546-9C04-8826F9F5EF78}" id="{8F58EEF1-AA60-4D04-B80B-FEAD111443C3}">
    <text>Kosten in 2024 waren gemiddeld  € 0,13. Hierop hanteren de meeste dynamische leveranciers een opslag van € 0,02. Door wijziging naar kwartieren doen wij de aanname dat het gemiddelde met € 0,02 daalt naar € 0,13.</text>
  </threadedComment>
  <threadedComment ref="AH29" dT="2025-08-16T16:05:40.53" personId="{0685B4E5-0C47-B546-9C04-8826F9F5EF78}" id="{17F82E73-F77D-479D-A644-AFFB539A225D}" parentId="{8F58EEF1-AA60-4D04-B80B-FEAD111443C3}">
    <text>Dynamisch hoog heeft betrekking op teruglevering. Kwartieren heeft positieve impact, daarom van 13 naar 15 cent.</text>
  </threadedComment>
  <threadedComment ref="AL29" dT="2025-05-15T07:45:29.11" personId="{0685B4E5-0C47-B546-9C04-8826F9F5EF78}" id="{43361F77-21B3-478B-9075-0FCCA01B3511}">
    <text>Kosten in 2024 waren gemiddeld  € 0,13. Hierop hanteren de meeste dynamische leveranciers een opslag van € 0,02. Door wijziging naar kwartieren doen wij de aanname dat het gemiddelde met € 0,02 daalt naar € 0,13.</text>
  </threadedComment>
  <threadedComment ref="AL29" dT="2025-08-16T16:05:40.53" personId="{0685B4E5-0C47-B546-9C04-8826F9F5EF78}" id="{2DC7FD29-54E3-4D9F-80FE-00F2AC454CC4}" parentId="{43361F77-21B3-478B-9075-0FCCA01B3511}">
    <text>Dynamisch hoog heeft betrekking op teruglevering. Kwartieren heeft positieve impact, daarom van 13 naar 15 cent.</text>
  </threadedComment>
  <threadedComment ref="G30" dT="2025-08-27T12:03:43.57" personId="{0685B4E5-0C47-B546-9C04-8826F9F5EF78}" id="{AEAA803A-DD4C-4860-8FC4-B9B7C1B78F54}">
    <text xml:space="preserve">Aangepast omdat in de toekomst een andere instelling van de batterij gekozen kan worden.
</text>
  </threadedComment>
  <threadedComment ref="AD30" dT="2025-05-15T07:45:00.39" personId="{0685B4E5-0C47-B546-9C04-8826F9F5EF78}" id="{9DCFFC9C-4246-4699-8E96-3E5EF721F634}">
    <text>Kosten in 2024 waren gemiddeld  € 0,03. Hierop hanteren de meeste dynamische leveranciers een opslag van € 0,02. Door wijziging naar kwartieren doen wij de aanname dat het gemiddelde met € 0,02 daalt naar € 0,03.</text>
  </threadedComment>
  <threadedComment ref="AH30" dT="2025-05-15T07:45:29.11" personId="{0685B4E5-0C47-B546-9C04-8826F9F5EF78}" id="{58098523-D989-49B5-B270-E0F0E0466951}">
    <text>Kosten in 2024 waren gemiddeld  € 0,13. Hierop hanteren de meeste dynamische leveranciers een opslag van € 0,02. Door wijziging naar kwartieren doen wij de aanname dat het gemiddelde met € 0,02 daalt naar € 0,13.</text>
  </threadedComment>
  <threadedComment ref="AH30" dT="2025-08-16T16:05:40.53" personId="{0685B4E5-0C47-B546-9C04-8826F9F5EF78}" id="{EA35AB47-22F5-43C6-8922-6F9F803B5F5C}" parentId="{58098523-D989-49B5-B270-E0F0E0466951}">
    <text>Dynamisch hoog heeft betrekking op teruglevering. Kwartieren heeft positieve impact, daarom van 13 naar 15 cent.</text>
  </threadedComment>
  <threadedComment ref="AL30" dT="2025-05-15T07:45:29.11" personId="{0685B4E5-0C47-B546-9C04-8826F9F5EF78}" id="{4E6EF94A-B71C-4B44-A6EA-B1C0B85D991A}">
    <text>Kosten in 2024 waren gemiddeld  € 0,13. Hierop hanteren de meeste dynamische leveranciers een opslag van € 0,02. Door wijziging naar kwartieren doen wij de aanname dat het gemiddelde met € 0,02 daalt naar € 0,13.</text>
  </threadedComment>
  <threadedComment ref="AL30" dT="2025-08-16T16:05:40.53" personId="{0685B4E5-0C47-B546-9C04-8826F9F5EF78}" id="{52B2C2FD-D15B-41B8-AC1A-9F93F407AC28}" parentId="{4E6EF94A-B71C-4B44-A6EA-B1C0B85D991A}">
    <text>Dynamisch hoog heeft betrekking op teruglevering. Kwartieren heeft positieve impact, daarom van 13 naar 15 cent.</text>
  </threadedComment>
  <threadedComment ref="G31" dT="2025-08-27T12:03:43.57" personId="{0685B4E5-0C47-B546-9C04-8826F9F5EF78}" id="{D3B59FE1-3DDB-4D10-94EF-639241467B33}">
    <text xml:space="preserve">Aangepast omdat in de toekomst een andere instelling van de batterij gekozen kan worden.
</text>
  </threadedComment>
  <threadedComment ref="AD31" dT="2025-05-15T07:45:00.39" personId="{0685B4E5-0C47-B546-9C04-8826F9F5EF78}" id="{E907AA75-5FAB-48B6-8003-AF171E7AB137}">
    <text>Kosten in 2024 waren gemiddeld  € 0,03. Hierop hanteren de meeste dynamische leveranciers een opslag van € 0,02. Door wijziging naar kwartieren doen wij de aanname dat het gemiddelde met € 0,02 daalt naar € 0,03.</text>
  </threadedComment>
  <threadedComment ref="AH31" dT="2025-05-15T07:45:29.11" personId="{0685B4E5-0C47-B546-9C04-8826F9F5EF78}" id="{60B49C93-8B2D-4D20-A5FF-75F2C1594153}">
    <text>Kosten in 2024 waren gemiddeld  € 0,13. Hierop hanteren de meeste dynamische leveranciers een opslag van € 0,02. Door wijziging naar kwartieren doen wij de aanname dat het gemiddelde met € 0,02 daalt naar € 0,13.</text>
  </threadedComment>
  <threadedComment ref="AH31" dT="2025-08-16T16:05:40.53" personId="{0685B4E5-0C47-B546-9C04-8826F9F5EF78}" id="{08C376A1-47D7-4C4F-826A-F4C901027CA5}" parentId="{60B49C93-8B2D-4D20-A5FF-75F2C1594153}">
    <text>Dynamisch hoog heeft betrekking op teruglevering. Kwartieren heeft positieve impact, daarom van 13 naar 15 cent.</text>
  </threadedComment>
  <threadedComment ref="AL31" dT="2025-05-15T07:45:29.11" personId="{0685B4E5-0C47-B546-9C04-8826F9F5EF78}" id="{4597C277-4C30-4B92-98CB-88A5DE733E99}">
    <text>Kosten in 2024 waren gemiddeld  € 0,13. Hierop hanteren de meeste dynamische leveranciers een opslag van € 0,02. Door wijziging naar kwartieren doen wij de aanname dat het gemiddelde met € 0,02 daalt naar € 0,13.</text>
  </threadedComment>
  <threadedComment ref="AL31" dT="2025-08-16T16:05:40.53" personId="{0685B4E5-0C47-B546-9C04-8826F9F5EF78}" id="{6C57CF64-F69C-4ABD-B71F-A74B4C203D20}" parentId="{4597C277-4C30-4B92-98CB-88A5DE733E99}">
    <text>Dynamisch hoog heeft betrekking op teruglevering. Kwartieren heeft positieve impact, daarom van 13 naar 15 cent.</text>
  </threadedComment>
  <threadedComment ref="G32" dT="2025-08-27T12:03:43.57" personId="{0685B4E5-0C47-B546-9C04-8826F9F5EF78}" id="{737546B5-C344-4341-8304-7F257364EDDD}">
    <text xml:space="preserve">Aangepast omdat in de toekomst een andere instelling van de batterij gekozen kan worden.
</text>
  </threadedComment>
  <threadedComment ref="AD32" dT="2025-05-15T07:45:00.39" personId="{0685B4E5-0C47-B546-9C04-8826F9F5EF78}" id="{64A1C39E-C145-46CA-87C8-10AD7600B7B1}">
    <text>Kosten in 2024 waren gemiddeld  € 0,03. Hierop hanteren de meeste dynamische leveranciers een opslag van € 0,02. Door wijziging naar kwartieren doen wij de aanname dat het gemiddelde met € 0,02 daalt naar € 0,03.</text>
  </threadedComment>
  <threadedComment ref="AH32" dT="2025-05-15T07:45:29.11" personId="{0685B4E5-0C47-B546-9C04-8826F9F5EF78}" id="{FD4012C2-003C-4600-9D98-6F6877E51493}">
    <text>Kosten in 2024 waren gemiddeld  € 0,13. Hierop hanteren de meeste dynamische leveranciers een opslag van € 0,02. Door wijziging naar kwartieren doen wij de aanname dat het gemiddelde met € 0,02 daalt naar € 0,13.</text>
  </threadedComment>
  <threadedComment ref="AH32" dT="2025-08-16T16:05:40.53" personId="{0685B4E5-0C47-B546-9C04-8826F9F5EF78}" id="{05421260-886E-4FCA-82E4-45A2D4EFCCB5}" parentId="{FD4012C2-003C-4600-9D98-6F6877E51493}">
    <text>Dynamisch hoog heeft betrekking op teruglevering. Kwartieren heeft positieve impact, daarom van 13 naar 15 cent.</text>
  </threadedComment>
  <threadedComment ref="AL32" dT="2025-05-15T07:45:29.11" personId="{0685B4E5-0C47-B546-9C04-8826F9F5EF78}" id="{CCBE7085-45F9-40DA-BF94-D1F6E83F571B}">
    <text>Kosten in 2024 waren gemiddeld  € 0,13. Hierop hanteren de meeste dynamische leveranciers een opslag van € 0,02. Door wijziging naar kwartieren doen wij de aanname dat het gemiddelde met € 0,02 daalt naar € 0,13.</text>
  </threadedComment>
  <threadedComment ref="AL32" dT="2025-08-16T16:05:40.53" personId="{0685B4E5-0C47-B546-9C04-8826F9F5EF78}" id="{96DCB25D-ABDD-4901-AC18-CDA392D05D01}" parentId="{CCBE7085-45F9-40DA-BF94-D1F6E83F571B}">
    <text>Dynamisch hoog heeft betrekking op teruglevering. Kwartieren heeft positieve impact, daarom van 13 naar 15 cent.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A5C78-0234-7F4E-ADAD-818A62CA45E8}">
  <sheetPr>
    <pageSetUpPr fitToPage="1"/>
  </sheetPr>
  <dimension ref="A1:AQ220"/>
  <sheetViews>
    <sheetView showGridLines="0" tabSelected="1" topLeftCell="A47" zoomScale="125" zoomScaleNormal="110" workbookViewId="0">
      <selection activeCell="AA25" sqref="AA25"/>
    </sheetView>
  </sheetViews>
  <sheetFormatPr baseColWidth="10" defaultColWidth="10.83203125" defaultRowHeight="17"/>
  <cols>
    <col min="1" max="1" width="8.33203125" style="228" customWidth="1"/>
    <col min="2" max="2" width="1.5" style="228" customWidth="1"/>
    <col min="3" max="3" width="11.83203125" style="228" customWidth="1"/>
    <col min="4" max="13" width="6.5" style="228" customWidth="1"/>
    <col min="14" max="14" width="6.5" style="340" customWidth="1"/>
    <col min="15" max="16" width="6.5" style="228" customWidth="1"/>
    <col min="17" max="21" width="6.5" style="339" customWidth="1"/>
    <col min="22" max="22" width="6.33203125" style="239" customWidth="1"/>
    <col min="23" max="26" width="6.5" style="239" customWidth="1"/>
    <col min="27" max="27" width="12" style="227" customWidth="1"/>
    <col min="28" max="28" width="2.6640625" style="227" customWidth="1"/>
    <col min="29" max="29" width="45.83203125" style="228" customWidth="1"/>
    <col min="30" max="30" width="11.5" style="227" bestFit="1" customWidth="1"/>
    <col min="31" max="31" width="4.83203125" style="227" customWidth="1"/>
    <col min="32" max="32" width="2.6640625" style="227" customWidth="1"/>
    <col min="33" max="33" width="2.33203125" style="227" customWidth="1"/>
    <col min="34" max="34" width="2.6640625" style="227" customWidth="1"/>
    <col min="35" max="35" width="45.83203125" style="228" customWidth="1"/>
    <col min="36" max="36" width="10.83203125" style="228"/>
    <col min="37" max="37" width="4.83203125" style="228" customWidth="1"/>
    <col min="38" max="38" width="2.6640625" style="228" customWidth="1"/>
    <col min="39" max="16384" width="10.83203125" style="228"/>
  </cols>
  <sheetData>
    <row r="1" spans="1:29">
      <c r="A1" s="224"/>
      <c r="B1" s="224"/>
      <c r="C1" s="224"/>
      <c r="D1" s="224"/>
      <c r="E1" s="224"/>
      <c r="F1" s="224"/>
      <c r="G1" s="224"/>
      <c r="H1" s="224"/>
      <c r="I1" s="224"/>
      <c r="J1" s="224"/>
      <c r="K1" s="224"/>
      <c r="L1" s="224"/>
      <c r="M1" s="224"/>
      <c r="N1" s="224"/>
      <c r="O1" s="224"/>
      <c r="P1" s="224"/>
      <c r="Q1" s="225"/>
      <c r="R1" s="225"/>
      <c r="S1" s="225"/>
      <c r="T1" s="225"/>
      <c r="U1" s="225"/>
      <c r="V1" s="226"/>
      <c r="W1" s="226"/>
      <c r="X1" s="226"/>
      <c r="Y1" s="226"/>
      <c r="Z1" s="226"/>
    </row>
    <row r="2" spans="1:29" ht="41">
      <c r="A2" s="224"/>
      <c r="B2" s="224"/>
      <c r="C2" s="229" t="s">
        <v>116</v>
      </c>
      <c r="D2" s="224"/>
      <c r="E2" s="224"/>
      <c r="F2" s="224"/>
      <c r="G2" s="224"/>
      <c r="H2" s="224"/>
      <c r="I2" s="224"/>
      <c r="J2" s="224"/>
      <c r="K2" s="224"/>
      <c r="L2" s="224"/>
      <c r="M2" s="224"/>
      <c r="N2" s="230"/>
      <c r="O2" s="229"/>
      <c r="P2" s="224"/>
      <c r="Q2" s="225"/>
      <c r="R2" s="225"/>
      <c r="S2" s="225"/>
      <c r="T2" s="225"/>
      <c r="U2" s="225"/>
      <c r="V2" s="226"/>
      <c r="W2" s="226"/>
      <c r="X2" s="226"/>
      <c r="Y2" s="226"/>
      <c r="Z2" s="226"/>
    </row>
    <row r="3" spans="1:29">
      <c r="A3" s="224"/>
      <c r="B3" s="224"/>
      <c r="C3" s="231" t="s">
        <v>647</v>
      </c>
      <c r="D3" s="224"/>
      <c r="E3" s="224"/>
      <c r="F3" s="224"/>
      <c r="G3" s="224"/>
      <c r="H3" s="224"/>
      <c r="I3" s="224"/>
      <c r="J3" s="224"/>
      <c r="K3" s="224"/>
      <c r="L3" s="224"/>
      <c r="M3" s="224"/>
      <c r="N3" s="230"/>
      <c r="O3" s="232"/>
      <c r="P3" s="225"/>
      <c r="Q3" s="225"/>
      <c r="R3" s="225"/>
      <c r="S3" s="225"/>
      <c r="T3" s="224"/>
      <c r="U3" s="225"/>
      <c r="V3" s="226"/>
      <c r="W3" s="226"/>
      <c r="X3" s="226"/>
      <c r="Y3" s="226"/>
      <c r="Z3" s="226"/>
    </row>
    <row r="4" spans="1:29" ht="41" customHeight="1">
      <c r="A4" s="224"/>
      <c r="B4" s="224"/>
      <c r="C4" s="224"/>
      <c r="D4" s="224"/>
      <c r="E4" s="224"/>
      <c r="F4" s="224"/>
      <c r="G4" s="224"/>
      <c r="H4" s="224"/>
      <c r="I4" s="224"/>
      <c r="J4" s="224"/>
      <c r="K4" s="224"/>
      <c r="L4" s="230"/>
      <c r="M4" s="230"/>
      <c r="N4" s="233"/>
      <c r="O4" s="234"/>
      <c r="P4" s="224"/>
      <c r="Q4" s="225"/>
      <c r="R4" s="225"/>
      <c r="S4" s="225"/>
      <c r="T4" s="225"/>
      <c r="U4" s="225"/>
      <c r="V4" s="226"/>
      <c r="W4" s="226"/>
      <c r="X4" s="226"/>
      <c r="Y4" s="226"/>
      <c r="Z4" s="226"/>
    </row>
    <row r="5" spans="1:29" ht="28">
      <c r="A5" s="224"/>
      <c r="B5" s="224"/>
      <c r="C5" s="235" t="s">
        <v>106</v>
      </c>
      <c r="D5" s="224"/>
      <c r="E5" s="224"/>
      <c r="F5" s="224"/>
      <c r="G5" s="224"/>
      <c r="H5" s="224"/>
      <c r="I5" s="224"/>
      <c r="J5" s="224"/>
      <c r="K5" s="224"/>
      <c r="L5" s="224"/>
      <c r="M5" s="224"/>
      <c r="N5" s="230"/>
      <c r="O5" s="224"/>
      <c r="P5" s="225"/>
      <c r="Q5" s="225"/>
      <c r="R5" s="225"/>
      <c r="S5" s="225"/>
      <c r="T5" s="224"/>
      <c r="U5" s="225"/>
      <c r="V5" s="226"/>
      <c r="W5" s="226"/>
      <c r="X5" s="226"/>
      <c r="Y5" s="226"/>
      <c r="Z5" s="226"/>
    </row>
    <row r="6" spans="1:29">
      <c r="A6" s="224"/>
      <c r="B6" s="224"/>
      <c r="C6" s="435" t="s">
        <v>107</v>
      </c>
      <c r="D6" s="435"/>
      <c r="E6" s="435"/>
      <c r="F6" s="435"/>
      <c r="G6" s="435"/>
      <c r="H6" s="435"/>
      <c r="I6" s="435"/>
      <c r="J6" s="435"/>
      <c r="K6" s="435"/>
      <c r="L6" s="435"/>
      <c r="M6" s="435"/>
      <c r="N6" s="435"/>
      <c r="O6" s="435"/>
      <c r="P6" s="225"/>
      <c r="Q6" s="225"/>
      <c r="R6" s="225"/>
      <c r="S6" s="225"/>
      <c r="T6" s="224"/>
      <c r="U6" s="225"/>
      <c r="V6" s="226"/>
      <c r="W6" s="226"/>
      <c r="X6" s="226"/>
      <c r="Y6" s="226"/>
      <c r="Z6" s="226"/>
    </row>
    <row r="7" spans="1:29">
      <c r="A7" s="224"/>
      <c r="B7" s="224"/>
      <c r="C7" s="224"/>
      <c r="D7" s="224"/>
      <c r="E7" s="224"/>
      <c r="F7" s="224"/>
      <c r="G7" s="224"/>
      <c r="H7" s="224"/>
      <c r="I7" s="224"/>
      <c r="J7" s="224"/>
      <c r="K7" s="224"/>
      <c r="L7" s="224"/>
      <c r="M7" s="230"/>
      <c r="N7" s="230"/>
      <c r="O7" s="230"/>
      <c r="P7" s="230"/>
      <c r="Q7" s="230"/>
      <c r="R7" s="230"/>
      <c r="S7" s="230"/>
      <c r="T7" s="225"/>
      <c r="U7" s="225"/>
      <c r="V7" s="226"/>
      <c r="W7" s="226"/>
      <c r="X7" s="226"/>
      <c r="Y7" s="226"/>
      <c r="Z7" s="226"/>
    </row>
    <row r="8" spans="1:29">
      <c r="A8" s="224"/>
      <c r="B8" s="224"/>
      <c r="C8" s="237" t="s">
        <v>108</v>
      </c>
      <c r="D8" s="224"/>
      <c r="E8" s="224"/>
      <c r="F8" s="224"/>
      <c r="G8" s="224"/>
      <c r="H8" s="462" t="s">
        <v>151</v>
      </c>
      <c r="I8" s="462"/>
      <c r="J8" s="462"/>
      <c r="K8" s="462"/>
      <c r="L8" s="462"/>
      <c r="M8" s="462"/>
      <c r="N8" s="462"/>
      <c r="O8" s="462"/>
      <c r="P8" s="462"/>
      <c r="Q8" s="225"/>
      <c r="R8" s="225"/>
      <c r="S8" s="225"/>
      <c r="T8" s="225"/>
      <c r="U8" s="225"/>
      <c r="V8" s="226"/>
      <c r="W8" s="226"/>
      <c r="X8" s="226"/>
      <c r="Y8" s="226"/>
      <c r="Z8" s="226"/>
    </row>
    <row r="9" spans="1:29" ht="9" customHeight="1">
      <c r="A9" s="224"/>
      <c r="B9" s="224"/>
      <c r="C9" s="224"/>
      <c r="D9" s="224"/>
      <c r="E9" s="224"/>
      <c r="F9" s="224"/>
      <c r="G9" s="224"/>
      <c r="H9" s="233"/>
      <c r="I9" s="233"/>
      <c r="J9" s="233"/>
      <c r="K9" s="233"/>
      <c r="L9" s="233"/>
      <c r="M9" s="233"/>
      <c r="N9" s="233"/>
      <c r="O9" s="233"/>
      <c r="P9" s="233"/>
      <c r="Q9" s="225"/>
      <c r="R9" s="225"/>
      <c r="S9" s="225"/>
      <c r="T9" s="225"/>
      <c r="U9" s="225"/>
      <c r="V9" s="226"/>
      <c r="W9" s="226"/>
      <c r="X9" s="226"/>
      <c r="Y9" s="226"/>
      <c r="Z9" s="226"/>
    </row>
    <row r="10" spans="1:29">
      <c r="A10" s="224"/>
      <c r="B10" s="224"/>
      <c r="C10" s="237" t="s">
        <v>109</v>
      </c>
      <c r="D10" s="224"/>
      <c r="E10" s="224"/>
      <c r="F10" s="224"/>
      <c r="G10" s="224"/>
      <c r="H10" s="463" t="s">
        <v>152</v>
      </c>
      <c r="I10" s="463"/>
      <c r="J10" s="463"/>
      <c r="K10" s="463"/>
      <c r="L10" s="463"/>
      <c r="M10" s="463"/>
      <c r="N10" s="463"/>
      <c r="O10" s="463"/>
      <c r="P10" s="463"/>
      <c r="Q10" s="225"/>
      <c r="R10" s="225"/>
      <c r="S10" s="225"/>
      <c r="T10" s="225"/>
      <c r="U10" s="225"/>
      <c r="V10" s="226"/>
      <c r="W10" s="226"/>
      <c r="X10" s="226"/>
      <c r="Y10" s="226"/>
      <c r="Z10" s="226"/>
      <c r="AC10" s="227"/>
    </row>
    <row r="11" spans="1:29" ht="9" customHeight="1">
      <c r="A11" s="224"/>
      <c r="B11" s="224"/>
      <c r="C11" s="224"/>
      <c r="D11" s="224"/>
      <c r="E11" s="224"/>
      <c r="F11" s="224"/>
      <c r="G11" s="224"/>
      <c r="H11" s="233"/>
      <c r="I11" s="233"/>
      <c r="J11" s="233"/>
      <c r="K11" s="233"/>
      <c r="L11" s="233"/>
      <c r="M11" s="233"/>
      <c r="N11" s="233"/>
      <c r="O11" s="233"/>
      <c r="P11" s="233"/>
      <c r="Q11" s="225"/>
      <c r="R11" s="225"/>
      <c r="S11" s="225"/>
      <c r="T11" s="225"/>
      <c r="U11" s="225"/>
      <c r="V11" s="226"/>
      <c r="W11" s="226"/>
      <c r="X11" s="226"/>
      <c r="Y11" s="226"/>
      <c r="Z11" s="226"/>
      <c r="AC11" s="227" t="s">
        <v>170</v>
      </c>
    </row>
    <row r="12" spans="1:29">
      <c r="A12" s="224"/>
      <c r="B12" s="224"/>
      <c r="C12" s="237" t="s">
        <v>110</v>
      </c>
      <c r="D12" s="224"/>
      <c r="E12" s="224"/>
      <c r="F12" s="224"/>
      <c r="G12" s="224"/>
      <c r="H12" s="462" t="s">
        <v>219</v>
      </c>
      <c r="I12" s="462"/>
      <c r="J12" s="233"/>
      <c r="K12" s="462" t="s">
        <v>153</v>
      </c>
      <c r="L12" s="462"/>
      <c r="M12" s="462"/>
      <c r="N12" s="462"/>
      <c r="O12" s="462"/>
      <c r="P12" s="462"/>
      <c r="Q12" s="225"/>
      <c r="R12" s="225"/>
      <c r="S12" s="225"/>
      <c r="T12" s="225"/>
      <c r="U12" s="225"/>
      <c r="V12" s="226"/>
      <c r="W12" s="226"/>
      <c r="X12" s="226"/>
      <c r="Y12" s="226"/>
      <c r="Z12" s="226"/>
      <c r="AC12" s="238" t="s">
        <v>167</v>
      </c>
    </row>
    <row r="13" spans="1:29" ht="9" customHeight="1">
      <c r="A13" s="224"/>
      <c r="B13" s="224"/>
      <c r="C13" s="224"/>
      <c r="D13" s="224"/>
      <c r="E13" s="224"/>
      <c r="F13" s="224"/>
      <c r="G13" s="224"/>
      <c r="H13" s="233"/>
      <c r="I13" s="233"/>
      <c r="J13" s="233"/>
      <c r="K13" s="233"/>
      <c r="L13" s="233"/>
      <c r="M13" s="233"/>
      <c r="N13" s="233"/>
      <c r="O13" s="233"/>
      <c r="P13" s="233"/>
      <c r="Q13" s="225"/>
      <c r="R13" s="225"/>
      <c r="S13" s="225"/>
      <c r="T13" s="225"/>
      <c r="U13" s="225"/>
      <c r="V13" s="226"/>
      <c r="W13" s="226"/>
      <c r="X13" s="226"/>
      <c r="Y13" s="226"/>
      <c r="Z13" s="226"/>
      <c r="AC13" s="238" t="s">
        <v>168</v>
      </c>
    </row>
    <row r="14" spans="1:29">
      <c r="A14" s="224"/>
      <c r="B14" s="224"/>
      <c r="C14" s="237" t="s">
        <v>111</v>
      </c>
      <c r="D14" s="224"/>
      <c r="E14" s="224"/>
      <c r="F14" s="224"/>
      <c r="G14" s="224"/>
      <c r="H14" s="462" t="s">
        <v>154</v>
      </c>
      <c r="I14" s="462"/>
      <c r="J14" s="462"/>
      <c r="K14" s="462"/>
      <c r="L14" s="462"/>
      <c r="M14" s="462"/>
      <c r="N14" s="462"/>
      <c r="O14" s="462"/>
      <c r="P14" s="462"/>
      <c r="Q14" s="225"/>
      <c r="R14" s="225"/>
      <c r="S14" s="225"/>
      <c r="T14" s="225"/>
      <c r="U14" s="225"/>
      <c r="V14" s="226"/>
      <c r="W14" s="226"/>
      <c r="X14" s="226"/>
      <c r="Y14" s="226"/>
      <c r="Z14" s="226"/>
      <c r="AC14" s="238" t="s">
        <v>169</v>
      </c>
    </row>
    <row r="15" spans="1:29" ht="9" customHeight="1">
      <c r="A15" s="224"/>
      <c r="B15" s="224"/>
      <c r="C15" s="224"/>
      <c r="D15" s="224"/>
      <c r="E15" s="224"/>
      <c r="F15" s="224"/>
      <c r="G15" s="224"/>
      <c r="H15" s="233"/>
      <c r="I15" s="233"/>
      <c r="J15" s="233"/>
      <c r="K15" s="233"/>
      <c r="L15" s="233"/>
      <c r="M15" s="233"/>
      <c r="N15" s="233"/>
      <c r="O15" s="233"/>
      <c r="P15" s="233"/>
      <c r="Q15" s="225"/>
      <c r="R15" s="225"/>
      <c r="S15" s="225"/>
      <c r="T15" s="225"/>
      <c r="U15" s="225"/>
      <c r="V15" s="226"/>
      <c r="W15" s="226"/>
      <c r="X15" s="226"/>
      <c r="Y15" s="226"/>
      <c r="Z15" s="226"/>
      <c r="AC15" s="227"/>
    </row>
    <row r="16" spans="1:29">
      <c r="A16" s="224"/>
      <c r="B16" s="224"/>
      <c r="C16" s="237" t="s">
        <v>112</v>
      </c>
      <c r="D16" s="224"/>
      <c r="E16" s="224"/>
      <c r="F16" s="224"/>
      <c r="G16" s="224"/>
      <c r="H16" s="460" t="s">
        <v>540</v>
      </c>
      <c r="I16" s="460"/>
      <c r="J16" s="460"/>
      <c r="K16" s="460"/>
      <c r="L16" s="233"/>
      <c r="M16" s="233"/>
      <c r="N16" s="233"/>
      <c r="O16" s="233"/>
      <c r="P16" s="233"/>
      <c r="Q16" s="225"/>
      <c r="R16" s="225"/>
      <c r="S16" s="225"/>
      <c r="T16" s="225"/>
      <c r="U16" s="225"/>
      <c r="V16" s="226"/>
      <c r="W16" s="226"/>
      <c r="X16" s="226"/>
      <c r="Y16" s="226"/>
      <c r="Z16" s="226"/>
      <c r="AC16" s="227"/>
    </row>
    <row r="17" spans="1:39" ht="41" customHeight="1">
      <c r="A17" s="224"/>
      <c r="B17" s="224"/>
      <c r="C17" s="224"/>
      <c r="D17" s="224"/>
      <c r="E17" s="224"/>
      <c r="F17" s="224"/>
      <c r="G17" s="224"/>
      <c r="H17" s="224"/>
      <c r="I17" s="224"/>
      <c r="J17" s="224"/>
      <c r="K17" s="224"/>
      <c r="L17" s="224"/>
      <c r="M17" s="230"/>
      <c r="N17" s="230"/>
      <c r="O17" s="230"/>
      <c r="P17" s="230"/>
      <c r="Q17" s="230"/>
      <c r="R17" s="230"/>
      <c r="S17" s="230"/>
      <c r="T17" s="225"/>
      <c r="U17" s="225"/>
      <c r="V17" s="226"/>
      <c r="W17" s="226"/>
      <c r="X17" s="226"/>
      <c r="Y17" s="226"/>
      <c r="Z17" s="226"/>
      <c r="AI17" s="239"/>
      <c r="AM17" s="239"/>
    </row>
    <row r="18" spans="1:39" ht="28">
      <c r="A18" s="224"/>
      <c r="B18" s="224"/>
      <c r="C18" s="235" t="s">
        <v>6</v>
      </c>
      <c r="D18" s="224"/>
      <c r="E18" s="224"/>
      <c r="F18" s="224"/>
      <c r="G18" s="224"/>
      <c r="H18" s="224"/>
      <c r="I18" s="224"/>
      <c r="J18" s="224"/>
      <c r="K18" s="224"/>
      <c r="L18" s="224"/>
      <c r="M18" s="224"/>
      <c r="N18" s="230"/>
      <c r="O18" s="224"/>
      <c r="P18" s="224"/>
      <c r="Q18" s="225"/>
      <c r="R18" s="225"/>
      <c r="S18" s="225"/>
      <c r="T18" s="225"/>
      <c r="U18" s="225"/>
      <c r="V18" s="226"/>
      <c r="W18" s="226"/>
      <c r="X18" s="226"/>
      <c r="Y18" s="226"/>
      <c r="Z18" s="226"/>
      <c r="AA18" s="240"/>
      <c r="AB18" s="240"/>
      <c r="AC18" s="240"/>
      <c r="AD18" s="240"/>
      <c r="AH18" s="239"/>
      <c r="AI18" s="239"/>
      <c r="AM18" s="239"/>
    </row>
    <row r="19" spans="1:39">
      <c r="A19" s="224"/>
      <c r="B19" s="224"/>
      <c r="C19" s="435" t="s">
        <v>213</v>
      </c>
      <c r="D19" s="435"/>
      <c r="E19" s="435"/>
      <c r="F19" s="435"/>
      <c r="G19" s="435"/>
      <c r="H19" s="435"/>
      <c r="I19" s="435"/>
      <c r="J19" s="435"/>
      <c r="K19" s="435"/>
      <c r="L19" s="435"/>
      <c r="M19" s="435"/>
      <c r="N19" s="435"/>
      <c r="O19" s="435"/>
      <c r="P19" s="224"/>
      <c r="Q19" s="225"/>
      <c r="R19" s="225"/>
      <c r="S19" s="225"/>
      <c r="T19" s="225"/>
      <c r="U19" s="225"/>
      <c r="V19" s="226"/>
      <c r="W19" s="226"/>
      <c r="X19" s="226"/>
      <c r="Y19" s="226"/>
      <c r="Z19" s="226"/>
      <c r="AA19" s="240"/>
      <c r="AB19" s="240"/>
      <c r="AC19" s="240"/>
      <c r="AD19" s="240"/>
      <c r="AH19" s="239"/>
      <c r="AI19" s="239"/>
      <c r="AM19" s="239"/>
    </row>
    <row r="20" spans="1:39" ht="16" customHeight="1">
      <c r="A20" s="224"/>
      <c r="B20" s="224"/>
      <c r="C20" s="224"/>
      <c r="D20" s="224"/>
      <c r="E20" s="224"/>
      <c r="F20" s="224"/>
      <c r="G20" s="224"/>
      <c r="H20" s="224"/>
      <c r="I20" s="224"/>
      <c r="J20" s="224"/>
      <c r="K20" s="224"/>
      <c r="L20" s="224"/>
      <c r="M20" s="224"/>
      <c r="N20" s="230"/>
      <c r="O20" s="224"/>
      <c r="P20" s="224"/>
      <c r="Q20" s="225"/>
      <c r="R20" s="225"/>
      <c r="S20" s="225"/>
      <c r="T20" s="225"/>
      <c r="U20" s="225"/>
      <c r="V20" s="226"/>
      <c r="W20" s="226"/>
      <c r="X20" s="226"/>
      <c r="Y20" s="226"/>
      <c r="Z20" s="226"/>
      <c r="AA20" s="240"/>
      <c r="AB20" s="240"/>
      <c r="AC20" s="240"/>
      <c r="AD20" s="240"/>
      <c r="AH20" s="239"/>
      <c r="AI20" s="239"/>
      <c r="AM20" s="239"/>
    </row>
    <row r="21" spans="1:39" ht="22">
      <c r="A21" s="224"/>
      <c r="B21" s="224"/>
      <c r="C21" s="241" t="s">
        <v>217</v>
      </c>
      <c r="D21" s="224"/>
      <c r="E21" s="224"/>
      <c r="F21" s="224"/>
      <c r="G21" s="224"/>
      <c r="H21" s="224"/>
      <c r="I21" s="224"/>
      <c r="J21" s="224"/>
      <c r="K21" s="224"/>
      <c r="L21" s="224"/>
      <c r="M21" s="224"/>
      <c r="N21" s="230"/>
      <c r="O21" s="224"/>
      <c r="P21" s="224"/>
      <c r="Q21" s="225"/>
      <c r="R21" s="225"/>
      <c r="S21" s="225"/>
      <c r="T21" s="225"/>
      <c r="U21" s="225"/>
      <c r="V21" s="226"/>
      <c r="W21" s="226"/>
      <c r="X21" s="226"/>
      <c r="Y21" s="226"/>
      <c r="Z21" s="226"/>
      <c r="AA21" s="240"/>
      <c r="AB21" s="240"/>
      <c r="AC21" s="240"/>
      <c r="AD21" s="240"/>
      <c r="AH21" s="239"/>
      <c r="AI21" s="239"/>
      <c r="AM21" s="239"/>
    </row>
    <row r="22" spans="1:39" ht="9" hidden="1" customHeight="1">
      <c r="A22" s="224"/>
      <c r="B22" s="224"/>
      <c r="C22" s="224"/>
      <c r="D22" s="224"/>
      <c r="E22" s="224"/>
      <c r="F22" s="224"/>
      <c r="G22" s="224"/>
      <c r="H22" s="224"/>
      <c r="I22" s="224"/>
      <c r="J22" s="224"/>
      <c r="K22" s="224"/>
      <c r="L22" s="224"/>
      <c r="M22" s="224"/>
      <c r="N22" s="224"/>
      <c r="O22" s="224"/>
      <c r="P22" s="224"/>
      <c r="Q22" s="225"/>
      <c r="R22" s="242"/>
      <c r="S22" s="230"/>
      <c r="T22" s="224"/>
      <c r="U22" s="233"/>
      <c r="V22" s="233"/>
      <c r="W22" s="224"/>
      <c r="X22" s="224"/>
      <c r="Y22" s="224"/>
      <c r="Z22" s="224"/>
      <c r="AA22" s="240"/>
      <c r="AB22" s="240"/>
      <c r="AC22" s="240"/>
      <c r="AD22" s="240"/>
      <c r="AH22" s="239"/>
      <c r="AI22" s="239"/>
      <c r="AM22" s="239"/>
    </row>
    <row r="23" spans="1:39" ht="16" hidden="1" customHeight="1">
      <c r="A23" s="224"/>
      <c r="B23" s="224"/>
      <c r="C23" s="237" t="s">
        <v>216</v>
      </c>
      <c r="D23" s="224"/>
      <c r="E23" s="224"/>
      <c r="F23" s="224"/>
      <c r="G23" s="224" t="s">
        <v>218</v>
      </c>
      <c r="H23" s="224"/>
      <c r="I23" s="224"/>
      <c r="J23" s="224"/>
      <c r="K23" s="224"/>
      <c r="L23" s="224"/>
      <c r="M23" s="224"/>
      <c r="N23" s="224"/>
      <c r="O23" s="224"/>
      <c r="P23" s="224"/>
      <c r="Q23" s="225"/>
      <c r="R23" s="434" t="s">
        <v>492</v>
      </c>
      <c r="S23" s="434"/>
      <c r="T23" s="434"/>
      <c r="U23" s="233"/>
      <c r="V23" s="233"/>
      <c r="W23" s="243"/>
      <c r="X23" s="243"/>
      <c r="Y23" s="243"/>
      <c r="Z23" s="243"/>
      <c r="AA23" s="240"/>
      <c r="AB23" s="240"/>
      <c r="AC23" s="240"/>
      <c r="AD23" s="240"/>
      <c r="AH23" s="239"/>
      <c r="AI23" s="239"/>
      <c r="AM23" s="239"/>
    </row>
    <row r="24" spans="1:39" ht="9" customHeight="1">
      <c r="A24" s="224"/>
      <c r="B24" s="224"/>
      <c r="C24" s="224"/>
      <c r="D24" s="224"/>
      <c r="E24" s="224"/>
      <c r="F24" s="224"/>
      <c r="G24" s="224"/>
      <c r="H24" s="224"/>
      <c r="I24" s="224"/>
      <c r="J24" s="224"/>
      <c r="K24" s="224"/>
      <c r="L24" s="224"/>
      <c r="M24" s="224"/>
      <c r="N24" s="224"/>
      <c r="O24" s="224"/>
      <c r="P24" s="224"/>
      <c r="Q24" s="225"/>
      <c r="R24" s="242"/>
      <c r="S24" s="230"/>
      <c r="T24" s="224"/>
      <c r="U24" s="233"/>
      <c r="V24" s="233"/>
      <c r="W24" s="224"/>
      <c r="X24" s="224"/>
      <c r="Y24" s="224"/>
      <c r="Z24" s="224"/>
      <c r="AA24" s="240"/>
      <c r="AB24" s="240"/>
      <c r="AC24" s="240"/>
      <c r="AD24" s="240"/>
      <c r="AH24" s="239"/>
      <c r="AI24" s="239"/>
      <c r="AM24" s="239"/>
    </row>
    <row r="25" spans="1:39" ht="16" customHeight="1">
      <c r="A25" s="224"/>
      <c r="B25" s="224"/>
      <c r="C25" s="237" t="s">
        <v>175</v>
      </c>
      <c r="D25" s="224"/>
      <c r="E25" s="224"/>
      <c r="F25" s="224"/>
      <c r="G25" s="224" t="s">
        <v>214</v>
      </c>
      <c r="H25" s="224"/>
      <c r="I25" s="224"/>
      <c r="J25" s="224"/>
      <c r="K25" s="224"/>
      <c r="L25" s="224"/>
      <c r="M25" s="224"/>
      <c r="N25" s="224"/>
      <c r="O25" s="224"/>
      <c r="P25" s="224"/>
      <c r="Q25" s="225"/>
      <c r="R25" s="434" t="s">
        <v>168</v>
      </c>
      <c r="S25" s="434"/>
      <c r="T25" s="434"/>
      <c r="U25" s="233"/>
      <c r="V25" s="233"/>
      <c r="W25" s="243"/>
      <c r="X25" s="243"/>
      <c r="Y25" s="243"/>
      <c r="Z25" s="243"/>
      <c r="AA25" s="240"/>
      <c r="AB25" s="240"/>
      <c r="AD25" s="240"/>
      <c r="AH25" s="239"/>
      <c r="AI25" s="239"/>
      <c r="AM25" s="239"/>
    </row>
    <row r="26" spans="1:39" ht="9" customHeight="1">
      <c r="A26" s="224"/>
      <c r="B26" s="224"/>
      <c r="C26" s="224"/>
      <c r="D26" s="224"/>
      <c r="E26" s="224"/>
      <c r="F26" s="224"/>
      <c r="G26" s="224"/>
      <c r="H26" s="224"/>
      <c r="I26" s="224"/>
      <c r="J26" s="224"/>
      <c r="K26" s="224"/>
      <c r="L26" s="224"/>
      <c r="M26" s="224"/>
      <c r="N26" s="224"/>
      <c r="O26" s="224"/>
      <c r="P26" s="224"/>
      <c r="Q26" s="225"/>
      <c r="R26" s="242"/>
      <c r="S26" s="230"/>
      <c r="T26" s="224"/>
      <c r="U26" s="233"/>
      <c r="V26" s="233"/>
      <c r="W26" s="224"/>
      <c r="X26" s="224"/>
      <c r="Y26" s="224"/>
      <c r="Z26" s="224"/>
      <c r="AA26" s="240"/>
      <c r="AB26" s="240"/>
      <c r="AC26" s="240"/>
      <c r="AD26" s="240"/>
      <c r="AH26" s="239"/>
      <c r="AI26" s="239"/>
      <c r="AM26" s="239"/>
    </row>
    <row r="27" spans="1:39" ht="6" customHeight="1">
      <c r="A27" s="224"/>
      <c r="B27" s="224"/>
      <c r="C27" s="224"/>
      <c r="D27" s="224"/>
      <c r="E27" s="224"/>
      <c r="F27" s="224"/>
      <c r="G27" s="224"/>
      <c r="H27" s="224"/>
      <c r="I27" s="224"/>
      <c r="J27" s="224"/>
      <c r="K27" s="224"/>
      <c r="L27" s="224"/>
      <c r="M27" s="224"/>
      <c r="N27" s="230"/>
      <c r="O27" s="224"/>
      <c r="P27" s="224"/>
      <c r="Q27" s="225"/>
      <c r="R27" s="225"/>
      <c r="S27" s="225"/>
      <c r="T27" s="225"/>
      <c r="U27" s="225"/>
      <c r="V27" s="226"/>
      <c r="W27" s="226"/>
      <c r="X27" s="226"/>
      <c r="Y27" s="226"/>
      <c r="Z27" s="226"/>
      <c r="AA27" s="240"/>
      <c r="AB27" s="240"/>
      <c r="AD27" s="240"/>
      <c r="AH27" s="239"/>
      <c r="AI27" s="239"/>
      <c r="AM27" s="239"/>
    </row>
    <row r="28" spans="1:39" ht="22">
      <c r="A28" s="224"/>
      <c r="B28" s="224"/>
      <c r="C28" s="241" t="s">
        <v>220</v>
      </c>
      <c r="D28" s="224"/>
      <c r="E28" s="224"/>
      <c r="F28" s="224"/>
      <c r="G28" s="224"/>
      <c r="H28" s="224"/>
      <c r="I28" s="224"/>
      <c r="J28" s="224"/>
      <c r="K28" s="224"/>
      <c r="L28" s="224"/>
      <c r="M28" s="224"/>
      <c r="N28" s="230"/>
      <c r="O28" s="224"/>
      <c r="P28" s="224"/>
      <c r="Q28" s="225"/>
      <c r="R28" s="225"/>
      <c r="S28" s="225"/>
      <c r="T28" s="225"/>
      <c r="U28" s="225"/>
      <c r="V28" s="226"/>
      <c r="W28" s="226"/>
      <c r="X28" s="226"/>
      <c r="Y28" s="226"/>
      <c r="Z28" s="226"/>
      <c r="AA28" s="240"/>
      <c r="AB28" s="244"/>
      <c r="AC28" s="244"/>
      <c r="AD28" s="244"/>
      <c r="AE28" s="244"/>
      <c r="AF28" s="244"/>
      <c r="AH28" s="239"/>
      <c r="AI28" s="239"/>
      <c r="AM28" s="239"/>
    </row>
    <row r="29" spans="1:39" ht="9" customHeight="1">
      <c r="A29" s="224"/>
      <c r="B29" s="224"/>
      <c r="C29" s="224"/>
      <c r="D29" s="224"/>
      <c r="E29" s="224"/>
      <c r="F29" s="224"/>
      <c r="G29" s="224"/>
      <c r="H29" s="224"/>
      <c r="I29" s="224"/>
      <c r="J29" s="224"/>
      <c r="K29" s="224"/>
      <c r="L29" s="224"/>
      <c r="M29" s="224"/>
      <c r="N29" s="224"/>
      <c r="O29" s="224"/>
      <c r="P29" s="224"/>
      <c r="Q29" s="225"/>
      <c r="R29" s="242"/>
      <c r="S29" s="230"/>
      <c r="T29" s="224"/>
      <c r="U29" s="233"/>
      <c r="V29" s="233"/>
      <c r="W29" s="224"/>
      <c r="X29" s="224"/>
      <c r="Y29" s="224"/>
      <c r="Z29" s="224"/>
      <c r="AA29" s="240"/>
      <c r="AB29" s="444"/>
      <c r="AC29" s="444" t="s">
        <v>454</v>
      </c>
      <c r="AD29" s="444"/>
      <c r="AE29" s="444"/>
      <c r="AF29" s="224"/>
      <c r="AH29" s="239"/>
      <c r="AI29" s="239"/>
      <c r="AM29" s="239"/>
    </row>
    <row r="30" spans="1:39" ht="16" customHeight="1">
      <c r="A30" s="224"/>
      <c r="B30" s="224"/>
      <c r="C30" s="237" t="s">
        <v>55</v>
      </c>
      <c r="D30" s="224"/>
      <c r="E30" s="224"/>
      <c r="F30" s="224"/>
      <c r="G30" s="224" t="s">
        <v>211</v>
      </c>
      <c r="H30" s="224"/>
      <c r="I30" s="224"/>
      <c r="J30" s="224"/>
      <c r="K30" s="224"/>
      <c r="L30" s="224"/>
      <c r="M30" s="224"/>
      <c r="N30" s="224"/>
      <c r="O30" s="224"/>
      <c r="P30" s="224"/>
      <c r="Q30" s="225"/>
      <c r="R30" s="434">
        <v>3500</v>
      </c>
      <c r="S30" s="434"/>
      <c r="T30" s="434"/>
      <c r="U30" s="233" t="s">
        <v>7</v>
      </c>
      <c r="V30" s="233"/>
      <c r="W30" s="243"/>
      <c r="X30" s="243"/>
      <c r="Y30" s="243"/>
      <c r="Z30" s="243"/>
      <c r="AA30" s="240"/>
      <c r="AB30" s="444"/>
      <c r="AC30" s="444"/>
      <c r="AD30" s="444"/>
      <c r="AE30" s="444"/>
      <c r="AF30" s="224"/>
      <c r="AH30" s="239"/>
      <c r="AI30" s="239"/>
      <c r="AM30" s="239"/>
    </row>
    <row r="31" spans="1:39" ht="9" customHeight="1">
      <c r="A31" s="224"/>
      <c r="B31" s="224"/>
      <c r="C31" s="224"/>
      <c r="D31" s="224"/>
      <c r="E31" s="224"/>
      <c r="F31" s="224"/>
      <c r="G31" s="224"/>
      <c r="H31" s="224"/>
      <c r="I31" s="224"/>
      <c r="J31" s="224"/>
      <c r="K31" s="224"/>
      <c r="L31" s="224"/>
      <c r="M31" s="224"/>
      <c r="N31" s="224"/>
      <c r="O31" s="224"/>
      <c r="P31" s="224"/>
      <c r="Q31" s="225"/>
      <c r="R31" s="242"/>
      <c r="S31" s="230"/>
      <c r="T31" s="224"/>
      <c r="U31" s="233"/>
      <c r="V31" s="233"/>
      <c r="W31" s="224"/>
      <c r="X31" s="224"/>
      <c r="Y31" s="224"/>
      <c r="Z31" s="224"/>
      <c r="AA31" s="240"/>
      <c r="AB31" s="224"/>
      <c r="AC31" s="224"/>
      <c r="AD31" s="224"/>
      <c r="AE31" s="224"/>
      <c r="AF31" s="224"/>
      <c r="AH31" s="239"/>
      <c r="AI31" s="239"/>
      <c r="AM31" s="239"/>
    </row>
    <row r="32" spans="1:39">
      <c r="A32" s="224"/>
      <c r="B32" s="224"/>
      <c r="C32" s="237" t="s">
        <v>44</v>
      </c>
      <c r="D32" s="224"/>
      <c r="E32" s="224"/>
      <c r="F32" s="224"/>
      <c r="G32" s="224" t="s">
        <v>212</v>
      </c>
      <c r="H32" s="224"/>
      <c r="I32" s="224"/>
      <c r="J32" s="224"/>
      <c r="K32" s="224"/>
      <c r="L32" s="224"/>
      <c r="M32" s="224"/>
      <c r="N32" s="224"/>
      <c r="O32" s="224"/>
      <c r="P32" s="224"/>
      <c r="Q32" s="225"/>
      <c r="R32" s="434">
        <v>2500</v>
      </c>
      <c r="S32" s="434"/>
      <c r="T32" s="434"/>
      <c r="U32" s="233" t="s">
        <v>7</v>
      </c>
      <c r="V32" s="344">
        <f>IF(ISERROR(1-R36/R34),0,1-R36/R34)</f>
        <v>0.7142857142857143</v>
      </c>
      <c r="W32" s="224"/>
      <c r="X32" s="224"/>
      <c r="Y32" s="224"/>
      <c r="Z32" s="224"/>
      <c r="AA32" s="240"/>
      <c r="AB32" s="224"/>
      <c r="AC32" s="224" t="s">
        <v>143</v>
      </c>
      <c r="AD32" s="245">
        <v>10</v>
      </c>
      <c r="AE32" s="224"/>
      <c r="AF32" s="224"/>
      <c r="AH32" s="239"/>
      <c r="AI32" s="239"/>
      <c r="AM32" s="239"/>
    </row>
    <row r="33" spans="1:43" ht="9" customHeight="1">
      <c r="A33" s="224"/>
      <c r="B33" s="224"/>
      <c r="C33" s="224"/>
      <c r="D33" s="224"/>
      <c r="E33" s="224"/>
      <c r="F33" s="224"/>
      <c r="G33" s="224"/>
      <c r="H33" s="224"/>
      <c r="I33" s="224"/>
      <c r="J33" s="224"/>
      <c r="K33" s="224"/>
      <c r="L33" s="224"/>
      <c r="M33" s="224"/>
      <c r="N33" s="224"/>
      <c r="O33" s="224"/>
      <c r="P33" s="224"/>
      <c r="Q33" s="225"/>
      <c r="R33" s="242"/>
      <c r="S33" s="230"/>
      <c r="T33" s="224"/>
      <c r="U33" s="233"/>
      <c r="V33" s="246"/>
      <c r="W33" s="224"/>
      <c r="X33" s="224"/>
      <c r="Y33" s="224"/>
      <c r="Z33" s="224"/>
      <c r="AA33" s="240"/>
      <c r="AB33" s="224"/>
      <c r="AC33" s="224"/>
      <c r="AD33" s="224"/>
      <c r="AE33" s="224"/>
      <c r="AF33" s="224"/>
      <c r="AG33" s="239"/>
      <c r="AH33" s="239"/>
      <c r="AI33" s="239"/>
      <c r="AM33" s="239"/>
      <c r="AN33" s="239"/>
      <c r="AO33" s="239"/>
      <c r="AP33" s="239"/>
      <c r="AQ33" s="239"/>
    </row>
    <row r="34" spans="1:43">
      <c r="A34" s="224"/>
      <c r="B34" s="224"/>
      <c r="C34" s="237" t="s">
        <v>37</v>
      </c>
      <c r="D34" s="224"/>
      <c r="E34" s="224"/>
      <c r="F34" s="224"/>
      <c r="G34" s="224" t="s">
        <v>421</v>
      </c>
      <c r="H34" s="224"/>
      <c r="I34" s="224"/>
      <c r="J34" s="224"/>
      <c r="K34" s="224"/>
      <c r="L34" s="224"/>
      <c r="M34" s="224"/>
      <c r="N34" s="224"/>
      <c r="O34" s="224"/>
      <c r="P34" s="224"/>
      <c r="Q34" s="225"/>
      <c r="R34" s="434">
        <v>3500</v>
      </c>
      <c r="S34" s="434"/>
      <c r="T34" s="434"/>
      <c r="U34" s="233" t="s">
        <v>7</v>
      </c>
      <c r="V34" s="233"/>
      <c r="W34" s="224"/>
      <c r="X34" s="224"/>
      <c r="Y34" s="224"/>
      <c r="Z34" s="224"/>
      <c r="AA34" s="240"/>
      <c r="AB34" s="224"/>
      <c r="AC34" s="224" t="s">
        <v>144</v>
      </c>
      <c r="AD34" s="245">
        <v>410</v>
      </c>
      <c r="AE34" s="224" t="s">
        <v>147</v>
      </c>
      <c r="AF34" s="224"/>
      <c r="AG34" s="239"/>
      <c r="AH34" s="239"/>
      <c r="AI34" s="239"/>
      <c r="AM34" s="239"/>
      <c r="AN34" s="239"/>
      <c r="AO34" s="239"/>
      <c r="AP34" s="239"/>
      <c r="AQ34" s="239"/>
    </row>
    <row r="35" spans="1:43" ht="9" customHeight="1">
      <c r="A35" s="224"/>
      <c r="B35" s="224"/>
      <c r="C35" s="224"/>
      <c r="D35" s="224"/>
      <c r="E35" s="224"/>
      <c r="F35" s="224"/>
      <c r="G35" s="224"/>
      <c r="H35" s="224"/>
      <c r="I35" s="224"/>
      <c r="J35" s="224"/>
      <c r="K35" s="224"/>
      <c r="L35" s="224"/>
      <c r="M35" s="224"/>
      <c r="N35" s="224"/>
      <c r="O35" s="224"/>
      <c r="P35" s="224"/>
      <c r="Q35" s="225"/>
      <c r="R35" s="242"/>
      <c r="S35" s="230"/>
      <c r="T35" s="224"/>
      <c r="U35" s="233"/>
      <c r="V35" s="233"/>
      <c r="W35" s="224"/>
      <c r="X35" s="224"/>
      <c r="Y35" s="224"/>
      <c r="Z35" s="224"/>
      <c r="AA35" s="240"/>
      <c r="AB35" s="224"/>
      <c r="AC35" s="224"/>
      <c r="AD35" s="224"/>
      <c r="AE35" s="224"/>
      <c r="AF35" s="224"/>
      <c r="AG35" s="239"/>
      <c r="AH35" s="239"/>
      <c r="AI35" s="239"/>
      <c r="AM35" s="239"/>
      <c r="AN35" s="239"/>
      <c r="AO35" s="239"/>
      <c r="AP35" s="239"/>
      <c r="AQ35" s="239"/>
    </row>
    <row r="36" spans="1:43">
      <c r="A36" s="224"/>
      <c r="B36" s="224"/>
      <c r="C36" s="237" t="s">
        <v>38</v>
      </c>
      <c r="D36" s="224"/>
      <c r="E36" s="224"/>
      <c r="F36" s="224"/>
      <c r="G36" s="224" t="s">
        <v>457</v>
      </c>
      <c r="H36" s="224"/>
      <c r="I36" s="224"/>
      <c r="J36" s="224"/>
      <c r="K36" s="224"/>
      <c r="L36" s="224"/>
      <c r="M36" s="224"/>
      <c r="N36" s="247"/>
      <c r="O36" s="247"/>
      <c r="P36" s="248"/>
      <c r="Q36" s="248"/>
      <c r="R36" s="445">
        <f>R34-R32</f>
        <v>1000</v>
      </c>
      <c r="S36" s="445"/>
      <c r="T36" s="445"/>
      <c r="U36" s="224" t="s">
        <v>7</v>
      </c>
      <c r="V36" s="343">
        <f>IF(ISERROR(R36/R34),0,R36/R34)</f>
        <v>0.2857142857142857</v>
      </c>
      <c r="W36" s="226"/>
      <c r="X36" s="224"/>
      <c r="Y36" s="224"/>
      <c r="Z36" s="224"/>
      <c r="AA36" s="240"/>
      <c r="AB36" s="224"/>
      <c r="AC36" s="224" t="s">
        <v>146</v>
      </c>
      <c r="AD36" s="249">
        <v>0.85</v>
      </c>
      <c r="AE36" s="224"/>
      <c r="AF36" s="224"/>
      <c r="AG36" s="239"/>
      <c r="AH36" s="239"/>
      <c r="AI36" s="239"/>
      <c r="AM36" s="239"/>
      <c r="AN36" s="239"/>
      <c r="AO36" s="239"/>
      <c r="AP36" s="239"/>
      <c r="AQ36" s="239"/>
    </row>
    <row r="37" spans="1:43" ht="9" customHeight="1">
      <c r="A37" s="224"/>
      <c r="B37" s="224"/>
      <c r="C37" s="224"/>
      <c r="D37" s="224"/>
      <c r="E37" s="224"/>
      <c r="F37" s="224"/>
      <c r="G37" s="224"/>
      <c r="H37" s="224"/>
      <c r="I37" s="224"/>
      <c r="J37" s="224"/>
      <c r="K37" s="224"/>
      <c r="L37" s="224"/>
      <c r="M37" s="224"/>
      <c r="N37" s="224"/>
      <c r="O37" s="224"/>
      <c r="P37" s="224"/>
      <c r="Q37" s="225"/>
      <c r="R37" s="230"/>
      <c r="S37" s="230"/>
      <c r="T37" s="224"/>
      <c r="U37" s="233"/>
      <c r="V37" s="233"/>
      <c r="W37" s="224"/>
      <c r="X37" s="224"/>
      <c r="Y37" s="224"/>
      <c r="Z37" s="224"/>
      <c r="AA37" s="240"/>
      <c r="AB37" s="224"/>
      <c r="AC37" s="224"/>
      <c r="AD37" s="224"/>
      <c r="AE37" s="224"/>
      <c r="AF37" s="224"/>
      <c r="AG37" s="239"/>
      <c r="AH37" s="239"/>
      <c r="AI37" s="239"/>
      <c r="AM37" s="239"/>
      <c r="AN37" s="239"/>
      <c r="AO37" s="239"/>
      <c r="AP37" s="239"/>
      <c r="AQ37" s="239"/>
    </row>
    <row r="38" spans="1:43">
      <c r="A38" s="224"/>
      <c r="B38" s="224"/>
      <c r="C38" s="237" t="s">
        <v>42</v>
      </c>
      <c r="D38" s="224"/>
      <c r="E38" s="224"/>
      <c r="F38" s="224"/>
      <c r="G38" s="224" t="s">
        <v>84</v>
      </c>
      <c r="H38" s="224"/>
      <c r="I38" s="224"/>
      <c r="J38" s="224"/>
      <c r="K38" s="224"/>
      <c r="L38" s="224"/>
      <c r="M38" s="224"/>
      <c r="N38" s="224"/>
      <c r="O38" s="224"/>
      <c r="P38" s="224"/>
      <c r="Q38" s="225"/>
      <c r="R38" s="445">
        <f>R30+R36</f>
        <v>4500</v>
      </c>
      <c r="S38" s="445"/>
      <c r="T38" s="445"/>
      <c r="U38" s="233" t="s">
        <v>7</v>
      </c>
      <c r="V38" s="233"/>
      <c r="W38" s="250"/>
      <c r="X38" s="250"/>
      <c r="Y38" s="250"/>
      <c r="Z38" s="250"/>
      <c r="AA38" s="240"/>
      <c r="AB38" s="224"/>
      <c r="AC38" s="341" t="s">
        <v>145</v>
      </c>
      <c r="AD38" s="342">
        <f>AD32*AD34*AD36</f>
        <v>3485</v>
      </c>
      <c r="AE38" s="251"/>
      <c r="AF38" s="224"/>
      <c r="AG38" s="239"/>
      <c r="AH38" s="239"/>
      <c r="AI38" s="239"/>
      <c r="AM38" s="239"/>
      <c r="AN38" s="239"/>
      <c r="AO38" s="239"/>
      <c r="AP38" s="239"/>
      <c r="AQ38" s="239"/>
    </row>
    <row r="39" spans="1:43" ht="9" customHeight="1">
      <c r="A39" s="224"/>
      <c r="B39" s="224"/>
      <c r="C39" s="224"/>
      <c r="D39" s="224"/>
      <c r="E39" s="224"/>
      <c r="F39" s="224"/>
      <c r="G39" s="224"/>
      <c r="H39" s="224"/>
      <c r="I39" s="224"/>
      <c r="J39" s="224"/>
      <c r="K39" s="224"/>
      <c r="L39" s="224"/>
      <c r="M39" s="224"/>
      <c r="N39" s="224"/>
      <c r="O39" s="224"/>
      <c r="P39" s="224"/>
      <c r="Q39" s="225"/>
      <c r="R39" s="230"/>
      <c r="S39" s="230"/>
      <c r="T39" s="224"/>
      <c r="U39" s="233"/>
      <c r="V39" s="233"/>
      <c r="W39" s="224"/>
      <c r="X39" s="224"/>
      <c r="Y39" s="224"/>
      <c r="Z39" s="224"/>
      <c r="AA39" s="240"/>
      <c r="AB39" s="224"/>
      <c r="AC39" s="224"/>
      <c r="AD39" s="224"/>
      <c r="AE39" s="224"/>
      <c r="AF39" s="224"/>
      <c r="AG39" s="239"/>
      <c r="AH39" s="239"/>
      <c r="AI39" s="239"/>
      <c r="AM39" s="239"/>
      <c r="AN39" s="239"/>
      <c r="AO39" s="239"/>
      <c r="AP39" s="239"/>
      <c r="AQ39" s="239"/>
    </row>
    <row r="40" spans="1:43">
      <c r="A40" s="224"/>
      <c r="B40" s="224"/>
      <c r="C40" s="237" t="s">
        <v>221</v>
      </c>
      <c r="D40" s="224"/>
      <c r="E40" s="224"/>
      <c r="F40" s="224"/>
      <c r="G40" s="224" t="s">
        <v>222</v>
      </c>
      <c r="H40" s="224"/>
      <c r="I40" s="224"/>
      <c r="J40" s="224"/>
      <c r="K40" s="224"/>
      <c r="L40" s="224"/>
      <c r="M40" s="224"/>
      <c r="N40" s="224"/>
      <c r="O40" s="224"/>
      <c r="P40" s="224"/>
      <c r="Q40" s="225"/>
      <c r="R40" s="445">
        <f>R38-R34</f>
        <v>1000</v>
      </c>
      <c r="S40" s="445"/>
      <c r="T40" s="445"/>
      <c r="U40" s="233" t="s">
        <v>7</v>
      </c>
      <c r="V40" s="233"/>
      <c r="W40" s="224"/>
      <c r="X40" s="224"/>
      <c r="Y40" s="224"/>
      <c r="Z40" s="224"/>
      <c r="AA40" s="240"/>
      <c r="AB40" s="224"/>
      <c r="AC40" s="224"/>
      <c r="AD40" s="224"/>
      <c r="AE40" s="224"/>
      <c r="AF40" s="224"/>
      <c r="AG40" s="239"/>
      <c r="AH40" s="239"/>
      <c r="AI40" s="239"/>
      <c r="AM40" s="239"/>
      <c r="AN40" s="239"/>
      <c r="AO40" s="239"/>
      <c r="AP40" s="239"/>
      <c r="AQ40" s="239"/>
    </row>
    <row r="41" spans="1:43">
      <c r="A41" s="224"/>
      <c r="B41" s="224"/>
      <c r="C41" s="224"/>
      <c r="D41" s="224"/>
      <c r="E41" s="224"/>
      <c r="F41" s="224"/>
      <c r="G41" s="224"/>
      <c r="H41" s="224"/>
      <c r="I41" s="224"/>
      <c r="J41" s="224"/>
      <c r="K41" s="224"/>
      <c r="L41" s="224"/>
      <c r="M41" s="224"/>
      <c r="N41" s="224"/>
      <c r="O41" s="224"/>
      <c r="P41" s="224"/>
      <c r="Q41" s="225"/>
      <c r="R41" s="242"/>
      <c r="S41" s="230"/>
      <c r="T41" s="224"/>
      <c r="U41" s="233"/>
      <c r="V41" s="233"/>
      <c r="W41" s="224"/>
      <c r="X41" s="224"/>
      <c r="Y41" s="224"/>
      <c r="Z41" s="224"/>
      <c r="AA41" s="239"/>
      <c r="AB41" s="239"/>
      <c r="AC41" s="240"/>
      <c r="AD41" s="240"/>
      <c r="AE41" s="240"/>
      <c r="AF41" s="239"/>
      <c r="AG41" s="239"/>
      <c r="AH41" s="239"/>
      <c r="AI41" s="239"/>
      <c r="AM41" s="239"/>
      <c r="AN41" s="239"/>
      <c r="AO41" s="239"/>
      <c r="AP41" s="239"/>
      <c r="AQ41" s="239"/>
    </row>
    <row r="42" spans="1:43" ht="9" customHeight="1">
      <c r="A42" s="224"/>
      <c r="B42" s="224"/>
      <c r="C42" s="224"/>
      <c r="D42" s="224"/>
      <c r="E42" s="224"/>
      <c r="F42" s="224"/>
      <c r="G42" s="224"/>
      <c r="H42" s="224"/>
      <c r="I42" s="224"/>
      <c r="J42" s="224"/>
      <c r="K42" s="224"/>
      <c r="L42" s="224"/>
      <c r="M42" s="224"/>
      <c r="N42" s="224"/>
      <c r="O42" s="224"/>
      <c r="P42" s="224"/>
      <c r="Q42" s="225"/>
      <c r="R42" s="242"/>
      <c r="S42" s="230"/>
      <c r="T42" s="224"/>
      <c r="U42" s="233"/>
      <c r="V42" s="233"/>
      <c r="W42" s="224"/>
      <c r="X42" s="224"/>
      <c r="Y42" s="224"/>
      <c r="Z42" s="224"/>
      <c r="AA42" s="239"/>
      <c r="AB42" s="239"/>
      <c r="AC42" s="240"/>
      <c r="AD42" s="240"/>
      <c r="AE42" s="240"/>
      <c r="AF42" s="239"/>
      <c r="AG42" s="239"/>
      <c r="AH42" s="239"/>
      <c r="AI42" s="239"/>
      <c r="AM42" s="239"/>
      <c r="AN42" s="239"/>
      <c r="AO42" s="239"/>
      <c r="AP42" s="239"/>
      <c r="AQ42" s="239"/>
    </row>
    <row r="43" spans="1:43" ht="22">
      <c r="A43" s="224"/>
      <c r="B43" s="224"/>
      <c r="C43" s="241" t="s">
        <v>215</v>
      </c>
      <c r="D43" s="224"/>
      <c r="E43" s="224"/>
      <c r="F43" s="224"/>
      <c r="G43" s="224"/>
      <c r="H43" s="224"/>
      <c r="I43" s="224"/>
      <c r="J43" s="224"/>
      <c r="K43" s="224"/>
      <c r="L43" s="224"/>
      <c r="M43" s="224"/>
      <c r="N43" s="230"/>
      <c r="O43" s="224"/>
      <c r="P43" s="224"/>
      <c r="Q43" s="225"/>
      <c r="R43" s="225"/>
      <c r="S43" s="225"/>
      <c r="T43" s="225"/>
      <c r="U43" s="225"/>
      <c r="V43" s="226"/>
      <c r="W43" s="226"/>
      <c r="X43" s="226"/>
      <c r="Y43" s="226"/>
      <c r="Z43" s="226"/>
      <c r="AC43" s="240"/>
      <c r="AD43" s="240"/>
      <c r="AE43" s="240"/>
      <c r="AH43" s="239"/>
      <c r="AI43" s="239"/>
      <c r="AM43" s="239"/>
    </row>
    <row r="44" spans="1:43" ht="6" customHeight="1">
      <c r="A44" s="224"/>
      <c r="B44" s="224"/>
      <c r="C44" s="224"/>
      <c r="D44" s="224"/>
      <c r="E44" s="224"/>
      <c r="F44" s="224"/>
      <c r="G44" s="224"/>
      <c r="H44" s="224"/>
      <c r="I44" s="224"/>
      <c r="J44" s="224"/>
      <c r="K44" s="224"/>
      <c r="L44" s="224"/>
      <c r="M44" s="224"/>
      <c r="N44" s="230"/>
      <c r="O44" s="224"/>
      <c r="P44" s="224"/>
      <c r="Q44" s="225"/>
      <c r="R44" s="225"/>
      <c r="S44" s="225"/>
      <c r="T44" s="225"/>
      <c r="U44" s="225"/>
      <c r="V44" s="226"/>
      <c r="W44" s="226"/>
      <c r="X44" s="226"/>
      <c r="Y44" s="226"/>
      <c r="Z44" s="226"/>
      <c r="AC44" s="240"/>
      <c r="AD44" s="240"/>
      <c r="AE44" s="240"/>
      <c r="AH44" s="239"/>
      <c r="AI44" s="239"/>
      <c r="AM44" s="239"/>
    </row>
    <row r="45" spans="1:43">
      <c r="A45" s="224"/>
      <c r="B45" s="224"/>
      <c r="C45" s="237" t="s">
        <v>209</v>
      </c>
      <c r="D45" s="224"/>
      <c r="E45" s="224"/>
      <c r="F45" s="224"/>
      <c r="G45" s="232" t="s">
        <v>624</v>
      </c>
      <c r="H45" s="224"/>
      <c r="I45" s="224"/>
      <c r="J45" s="224"/>
      <c r="K45" s="224"/>
      <c r="L45" s="224"/>
      <c r="M45" s="224"/>
      <c r="N45" s="224"/>
      <c r="O45" s="224"/>
      <c r="P45" s="224"/>
      <c r="Q45" s="225"/>
      <c r="R45" s="225"/>
      <c r="S45" s="447">
        <v>8.99</v>
      </c>
      <c r="T45" s="448"/>
      <c r="U45" s="232" t="s">
        <v>622</v>
      </c>
      <c r="V45" s="233"/>
      <c r="W45" s="224"/>
      <c r="X45" s="224"/>
      <c r="Y45" s="224"/>
      <c r="Z45" s="224"/>
      <c r="AC45" s="240"/>
      <c r="AD45" s="240"/>
      <c r="AE45" s="240"/>
      <c r="AG45" s="239"/>
      <c r="AH45" s="239"/>
      <c r="AI45" s="239"/>
      <c r="AM45" s="239"/>
      <c r="AN45" s="239"/>
      <c r="AO45" s="239"/>
      <c r="AP45" s="239"/>
      <c r="AQ45" s="239"/>
    </row>
    <row r="46" spans="1:43" ht="6" customHeight="1">
      <c r="A46" s="224"/>
      <c r="B46" s="224"/>
      <c r="C46" s="224"/>
      <c r="D46" s="224"/>
      <c r="E46" s="224"/>
      <c r="F46" s="224"/>
      <c r="G46" s="224"/>
      <c r="H46" s="224"/>
      <c r="I46" s="224"/>
      <c r="J46" s="224"/>
      <c r="K46" s="224"/>
      <c r="L46" s="224"/>
      <c r="M46" s="224"/>
      <c r="N46" s="230"/>
      <c r="O46" s="224"/>
      <c r="P46" s="224"/>
      <c r="Q46" s="225"/>
      <c r="R46" s="225"/>
      <c r="S46" s="225"/>
      <c r="T46" s="225"/>
      <c r="U46" s="225"/>
      <c r="V46" s="226"/>
      <c r="W46" s="226"/>
      <c r="X46" s="226"/>
      <c r="Y46" s="226"/>
      <c r="Z46" s="226"/>
      <c r="AC46" s="240"/>
      <c r="AD46" s="240"/>
      <c r="AE46" s="240"/>
      <c r="AH46" s="239"/>
      <c r="AI46" s="239"/>
      <c r="AM46" s="239"/>
    </row>
    <row r="47" spans="1:43">
      <c r="A47" s="224"/>
      <c r="B47" s="224"/>
      <c r="C47" s="237" t="s">
        <v>59</v>
      </c>
      <c r="D47" s="224"/>
      <c r="E47" s="224"/>
      <c r="F47" s="224"/>
      <c r="G47" s="232" t="s">
        <v>625</v>
      </c>
      <c r="H47" s="224"/>
      <c r="I47" s="224"/>
      <c r="J47" s="224"/>
      <c r="K47" s="224"/>
      <c r="L47" s="224"/>
      <c r="M47" s="224"/>
      <c r="N47" s="224"/>
      <c r="O47" s="224"/>
      <c r="P47" s="224"/>
      <c r="Q47" s="225"/>
      <c r="R47" s="225"/>
      <c r="S47" s="449">
        <v>0.18</v>
      </c>
      <c r="T47" s="450"/>
      <c r="U47" s="232" t="s">
        <v>623</v>
      </c>
      <c r="V47" s="233"/>
      <c r="W47" s="243"/>
      <c r="X47" s="243"/>
      <c r="Y47" s="243"/>
      <c r="Z47" s="243"/>
      <c r="AC47" s="240"/>
      <c r="AD47" s="240"/>
      <c r="AE47" s="240"/>
      <c r="AG47" s="239"/>
      <c r="AH47" s="239"/>
      <c r="AI47" s="239"/>
      <c r="AM47" s="239"/>
      <c r="AN47" s="239"/>
      <c r="AO47" s="239"/>
      <c r="AP47" s="239"/>
      <c r="AQ47" s="239"/>
    </row>
    <row r="48" spans="1:43" ht="6" customHeight="1">
      <c r="A48" s="224"/>
      <c r="B48" s="224"/>
      <c r="C48" s="224"/>
      <c r="D48" s="224"/>
      <c r="E48" s="224"/>
      <c r="F48" s="224"/>
      <c r="G48" s="224"/>
      <c r="H48" s="224"/>
      <c r="I48" s="224"/>
      <c r="J48" s="224"/>
      <c r="K48" s="224"/>
      <c r="L48" s="224"/>
      <c r="M48" s="224"/>
      <c r="N48" s="230"/>
      <c r="O48" s="224"/>
      <c r="P48" s="224"/>
      <c r="Q48" s="225"/>
      <c r="R48" s="225"/>
      <c r="S48" s="225">
        <v>0.1</v>
      </c>
      <c r="T48" s="225"/>
      <c r="U48" s="225"/>
      <c r="V48" s="226"/>
      <c r="W48" s="226"/>
      <c r="X48" s="226"/>
      <c r="Y48" s="226"/>
      <c r="Z48" s="226"/>
      <c r="AC48" s="240"/>
      <c r="AD48" s="240"/>
      <c r="AE48" s="240"/>
      <c r="AH48" s="239"/>
      <c r="AI48" s="239"/>
      <c r="AM48" s="239"/>
    </row>
    <row r="49" spans="1:43">
      <c r="A49" s="224"/>
      <c r="B49" s="224"/>
      <c r="C49" s="237" t="s">
        <v>58</v>
      </c>
      <c r="D49" s="224"/>
      <c r="E49" s="224"/>
      <c r="F49" s="224"/>
      <c r="G49" s="232" t="s">
        <v>642</v>
      </c>
      <c r="H49" s="224"/>
      <c r="I49" s="224"/>
      <c r="J49" s="224"/>
      <c r="K49" s="224"/>
      <c r="L49" s="224"/>
      <c r="M49" s="224"/>
      <c r="N49" s="224"/>
      <c r="O49" s="224"/>
      <c r="P49" s="224"/>
      <c r="Q49" s="225"/>
      <c r="R49" s="225"/>
      <c r="S49" s="449">
        <v>0.15</v>
      </c>
      <c r="T49" s="450"/>
      <c r="U49" s="232" t="s">
        <v>623</v>
      </c>
      <c r="V49" s="233"/>
      <c r="W49" s="224"/>
      <c r="X49" s="224"/>
      <c r="Y49" s="224"/>
      <c r="Z49" s="224"/>
      <c r="AC49" s="240"/>
      <c r="AD49" s="240"/>
      <c r="AE49" s="240"/>
      <c r="AG49" s="239"/>
      <c r="AH49" s="239"/>
      <c r="AI49" s="239"/>
      <c r="AM49" s="239"/>
      <c r="AN49" s="239"/>
      <c r="AO49" s="239"/>
      <c r="AP49" s="239"/>
      <c r="AQ49" s="239"/>
    </row>
    <row r="50" spans="1:43" ht="6" customHeight="1">
      <c r="A50" s="224"/>
      <c r="B50" s="224"/>
      <c r="C50" s="224"/>
      <c r="D50" s="224"/>
      <c r="E50" s="224"/>
      <c r="F50" s="224"/>
      <c r="G50" s="224"/>
      <c r="H50" s="224"/>
      <c r="I50" s="224"/>
      <c r="J50" s="224"/>
      <c r="K50" s="224"/>
      <c r="L50" s="224"/>
      <c r="M50" s="224"/>
      <c r="N50" s="230"/>
      <c r="O50" s="224"/>
      <c r="P50" s="224"/>
      <c r="Q50" s="225"/>
      <c r="R50" s="225"/>
      <c r="S50" s="225"/>
      <c r="T50" s="225"/>
      <c r="U50" s="225"/>
      <c r="V50" s="226"/>
      <c r="W50" s="226"/>
      <c r="X50" s="226"/>
      <c r="Y50" s="226"/>
      <c r="Z50" s="226"/>
      <c r="AC50" s="240"/>
      <c r="AD50" s="240"/>
      <c r="AE50" s="240"/>
      <c r="AH50" s="239"/>
      <c r="AI50" s="239"/>
      <c r="AM50" s="239"/>
    </row>
    <row r="51" spans="1:43">
      <c r="A51" s="224"/>
      <c r="B51" s="224"/>
      <c r="C51" s="237" t="s">
        <v>156</v>
      </c>
      <c r="D51" s="224"/>
      <c r="E51" s="224"/>
      <c r="F51" s="224"/>
      <c r="G51" s="232" t="s">
        <v>646</v>
      </c>
      <c r="H51" s="224"/>
      <c r="I51" s="224"/>
      <c r="J51" s="224"/>
      <c r="K51" s="224"/>
      <c r="L51" s="224"/>
      <c r="M51" s="224"/>
      <c r="N51" s="224"/>
      <c r="O51" s="224"/>
      <c r="P51" s="224"/>
      <c r="Q51" s="225"/>
      <c r="R51" s="225"/>
      <c r="S51" s="449">
        <v>0.14000000000000001</v>
      </c>
      <c r="T51" s="450"/>
      <c r="U51" s="232" t="s">
        <v>57</v>
      </c>
      <c r="V51" s="233"/>
      <c r="W51" s="224"/>
      <c r="X51" s="224"/>
      <c r="Y51" s="224"/>
      <c r="Z51" s="224"/>
      <c r="AC51" s="240"/>
      <c r="AD51" s="240"/>
      <c r="AE51" s="240"/>
      <c r="AG51" s="239"/>
      <c r="AH51" s="239"/>
      <c r="AI51" s="239"/>
      <c r="AM51" s="239"/>
      <c r="AN51" s="239"/>
      <c r="AO51" s="239"/>
      <c r="AP51" s="239"/>
      <c r="AQ51" s="239"/>
    </row>
    <row r="52" spans="1:43" ht="41" customHeight="1">
      <c r="A52" s="224"/>
      <c r="B52" s="224"/>
      <c r="C52" s="224"/>
      <c r="D52" s="224"/>
      <c r="E52" s="224"/>
      <c r="F52" s="224"/>
      <c r="G52" s="224"/>
      <c r="H52" s="224"/>
      <c r="I52" s="224"/>
      <c r="J52" s="224"/>
      <c r="K52" s="224"/>
      <c r="L52" s="224"/>
      <c r="M52" s="230"/>
      <c r="N52" s="230"/>
      <c r="O52" s="230"/>
      <c r="P52" s="230"/>
      <c r="Q52" s="230"/>
      <c r="R52" s="230"/>
      <c r="S52" s="230"/>
      <c r="T52" s="225"/>
      <c r="U52" s="225"/>
      <c r="V52" s="226"/>
      <c r="W52" s="226"/>
      <c r="X52" s="226"/>
      <c r="Y52" s="226"/>
      <c r="Z52" s="226"/>
      <c r="AC52" s="240"/>
      <c r="AD52" s="240"/>
      <c r="AE52" s="240"/>
      <c r="AG52" s="239"/>
      <c r="AH52" s="239"/>
      <c r="AI52" s="239"/>
      <c r="AM52" s="239"/>
      <c r="AN52" s="239"/>
      <c r="AO52" s="239"/>
      <c r="AP52" s="239"/>
      <c r="AQ52" s="239"/>
    </row>
    <row r="53" spans="1:43">
      <c r="A53" s="252"/>
      <c r="B53" s="252"/>
      <c r="C53" s="252"/>
      <c r="D53" s="252"/>
      <c r="E53" s="252"/>
      <c r="F53" s="252"/>
      <c r="G53" s="252"/>
      <c r="H53" s="252"/>
      <c r="I53" s="252"/>
      <c r="J53" s="252"/>
      <c r="K53" s="252"/>
      <c r="L53" s="252"/>
      <c r="M53" s="252"/>
      <c r="N53" s="252"/>
      <c r="O53" s="252"/>
      <c r="P53" s="252"/>
      <c r="Q53" s="253"/>
      <c r="R53" s="254"/>
      <c r="S53" s="255"/>
      <c r="T53" s="256"/>
      <c r="U53" s="256"/>
      <c r="V53" s="254"/>
      <c r="W53" s="257"/>
      <c r="X53" s="257"/>
      <c r="Y53" s="257"/>
      <c r="Z53" s="257"/>
      <c r="AA53" s="239"/>
      <c r="AB53" s="239"/>
      <c r="AC53" s="239"/>
      <c r="AD53" s="239"/>
      <c r="AE53" s="239"/>
      <c r="AF53" s="239"/>
      <c r="AG53" s="239"/>
      <c r="AH53" s="239"/>
      <c r="AI53" s="239"/>
      <c r="AM53" s="239"/>
      <c r="AN53" s="239"/>
      <c r="AO53" s="239"/>
      <c r="AP53" s="239"/>
      <c r="AQ53" s="239"/>
    </row>
    <row r="54" spans="1:43" ht="22">
      <c r="A54" s="252"/>
      <c r="B54" s="252"/>
      <c r="C54" s="258" t="s">
        <v>139</v>
      </c>
      <c r="D54" s="252"/>
      <c r="E54" s="252"/>
      <c r="F54" s="252"/>
      <c r="G54" s="252"/>
      <c r="H54" s="252"/>
      <c r="I54" s="252"/>
      <c r="J54" s="252"/>
      <c r="K54" s="252"/>
      <c r="L54" s="252"/>
      <c r="M54" s="252"/>
      <c r="N54" s="252"/>
      <c r="O54" s="252"/>
      <c r="P54" s="252"/>
      <c r="Q54" s="253"/>
      <c r="R54" s="252"/>
      <c r="S54" s="252"/>
      <c r="T54" s="259"/>
      <c r="U54" s="260"/>
      <c r="V54" s="252"/>
      <c r="W54" s="257"/>
      <c r="X54" s="257"/>
      <c r="Y54" s="257"/>
      <c r="Z54" s="257"/>
      <c r="AA54" s="239"/>
      <c r="AB54" s="239"/>
      <c r="AC54" s="239"/>
      <c r="AD54" s="239"/>
      <c r="AE54" s="239"/>
      <c r="AF54" s="239"/>
      <c r="AG54" s="239"/>
      <c r="AH54" s="239"/>
      <c r="AI54" s="239"/>
      <c r="AM54" s="239"/>
      <c r="AN54" s="239"/>
      <c r="AO54" s="239"/>
      <c r="AP54" s="239"/>
      <c r="AQ54" s="239"/>
    </row>
    <row r="55" spans="1:43" ht="6" customHeight="1">
      <c r="A55" s="252"/>
      <c r="B55" s="252"/>
      <c r="C55" s="252"/>
      <c r="D55" s="252"/>
      <c r="E55" s="252"/>
      <c r="F55" s="252"/>
      <c r="G55" s="252"/>
      <c r="H55" s="252"/>
      <c r="I55" s="252"/>
      <c r="J55" s="252"/>
      <c r="K55" s="252"/>
      <c r="L55" s="252"/>
      <c r="M55" s="252"/>
      <c r="N55" s="252"/>
      <c r="O55" s="252"/>
      <c r="P55" s="252"/>
      <c r="Q55" s="253"/>
      <c r="R55" s="252"/>
      <c r="S55" s="261"/>
      <c r="T55" s="259"/>
      <c r="U55" s="259"/>
      <c r="V55" s="252"/>
      <c r="W55" s="257"/>
      <c r="X55" s="257"/>
      <c r="Y55" s="257"/>
      <c r="Z55" s="257"/>
      <c r="AA55" s="239"/>
      <c r="AB55" s="239"/>
      <c r="AC55" s="239"/>
      <c r="AD55" s="239"/>
      <c r="AE55" s="239"/>
      <c r="AF55" s="239"/>
      <c r="AG55" s="239"/>
      <c r="AH55" s="239"/>
      <c r="AI55" s="239"/>
      <c r="AM55" s="239"/>
      <c r="AN55" s="239"/>
      <c r="AO55" s="239"/>
      <c r="AP55" s="239"/>
      <c r="AQ55" s="239"/>
    </row>
    <row r="56" spans="1:43">
      <c r="A56" s="252"/>
      <c r="B56" s="252"/>
      <c r="C56" s="262" t="s">
        <v>185</v>
      </c>
      <c r="D56" s="252"/>
      <c r="E56" s="252"/>
      <c r="F56" s="252"/>
      <c r="G56" s="263" t="s">
        <v>341</v>
      </c>
      <c r="H56" s="252"/>
      <c r="I56" s="252"/>
      <c r="J56" s="252"/>
      <c r="K56" s="252"/>
      <c r="L56" s="252"/>
      <c r="M56" s="252"/>
      <c r="N56" s="252"/>
      <c r="O56" s="252"/>
      <c r="P56" s="252"/>
      <c r="Q56" s="253"/>
      <c r="R56" s="446">
        <f ca="1">'financieel nadeel'!G31</f>
        <v>411</v>
      </c>
      <c r="S56" s="446"/>
      <c r="T56" s="446"/>
      <c r="U56" s="264" t="s">
        <v>25</v>
      </c>
      <c r="V56" s="264"/>
      <c r="W56" s="265"/>
      <c r="X56" s="265"/>
      <c r="Y56" s="265"/>
      <c r="Z56" s="252"/>
      <c r="AA56" s="239"/>
      <c r="AB56" s="239"/>
      <c r="AC56" s="239"/>
      <c r="AD56" s="239"/>
      <c r="AE56" s="239"/>
      <c r="AF56" s="239"/>
      <c r="AG56" s="239"/>
      <c r="AH56" s="239"/>
      <c r="AI56" s="239"/>
      <c r="AM56" s="239"/>
      <c r="AN56" s="239"/>
      <c r="AO56" s="239"/>
      <c r="AP56" s="239"/>
      <c r="AQ56" s="239"/>
    </row>
    <row r="57" spans="1:43" ht="6" customHeight="1">
      <c r="A57" s="252"/>
      <c r="B57" s="252"/>
      <c r="C57" s="252"/>
      <c r="D57" s="252"/>
      <c r="E57" s="252"/>
      <c r="F57" s="252"/>
      <c r="G57" s="252"/>
      <c r="H57" s="252"/>
      <c r="I57" s="252"/>
      <c r="J57" s="252"/>
      <c r="K57" s="252"/>
      <c r="L57" s="252"/>
      <c r="M57" s="252"/>
      <c r="N57" s="252"/>
      <c r="O57" s="252"/>
      <c r="P57" s="252"/>
      <c r="Q57" s="253"/>
      <c r="R57" s="266"/>
      <c r="S57" s="266"/>
      <c r="T57" s="259"/>
      <c r="U57" s="267"/>
      <c r="V57" s="267"/>
      <c r="W57" s="252"/>
      <c r="X57" s="252"/>
      <c r="Y57" s="252"/>
      <c r="Z57" s="252"/>
      <c r="AA57" s="239"/>
      <c r="AB57" s="239"/>
      <c r="AC57" s="239"/>
      <c r="AD57" s="239"/>
      <c r="AE57" s="239"/>
      <c r="AF57" s="239"/>
      <c r="AG57" s="239"/>
      <c r="AH57" s="239"/>
      <c r="AI57" s="239"/>
      <c r="AM57" s="239"/>
      <c r="AN57" s="239"/>
      <c r="AO57" s="239"/>
      <c r="AP57" s="239"/>
      <c r="AQ57" s="239"/>
    </row>
    <row r="58" spans="1:43">
      <c r="A58" s="252"/>
      <c r="B58" s="252"/>
      <c r="C58" s="262" t="s">
        <v>103</v>
      </c>
      <c r="D58" s="252"/>
      <c r="E58" s="252"/>
      <c r="F58" s="252"/>
      <c r="G58" s="252" t="s">
        <v>150</v>
      </c>
      <c r="H58" s="252"/>
      <c r="I58" s="252"/>
      <c r="J58" s="252"/>
      <c r="K58" s="252"/>
      <c r="L58" s="252"/>
      <c r="M58" s="252"/>
      <c r="N58" s="252"/>
      <c r="O58" s="252"/>
      <c r="P58" s="252"/>
      <c r="Q58" s="253"/>
      <c r="R58" s="446">
        <f ca="1">'financieel nadeel'!M31</f>
        <v>786</v>
      </c>
      <c r="S58" s="446"/>
      <c r="T58" s="446"/>
      <c r="U58" s="264" t="s">
        <v>25</v>
      </c>
      <c r="V58" s="264"/>
      <c r="W58" s="265"/>
      <c r="X58" s="265"/>
      <c r="Y58" s="265"/>
      <c r="Z58" s="252"/>
      <c r="AA58" s="239"/>
      <c r="AB58" s="239"/>
      <c r="AC58" s="239"/>
      <c r="AD58" s="239"/>
      <c r="AE58" s="239"/>
      <c r="AF58" s="239"/>
      <c r="AG58" s="239"/>
      <c r="AH58" s="239"/>
      <c r="AI58" s="239"/>
      <c r="AM58" s="239"/>
      <c r="AN58" s="239"/>
      <c r="AO58" s="239"/>
      <c r="AP58" s="239"/>
      <c r="AQ58" s="239"/>
    </row>
    <row r="59" spans="1:43" ht="6" customHeight="1">
      <c r="A59" s="252"/>
      <c r="B59" s="252"/>
      <c r="C59" s="252"/>
      <c r="D59" s="252"/>
      <c r="E59" s="252"/>
      <c r="F59" s="252"/>
      <c r="G59" s="252"/>
      <c r="H59" s="252"/>
      <c r="I59" s="252"/>
      <c r="J59" s="252"/>
      <c r="K59" s="252"/>
      <c r="L59" s="252"/>
      <c r="M59" s="252"/>
      <c r="N59" s="252"/>
      <c r="O59" s="252"/>
      <c r="P59" s="252"/>
      <c r="Q59" s="253"/>
      <c r="R59" s="266"/>
      <c r="S59" s="266"/>
      <c r="T59" s="259"/>
      <c r="U59" s="267"/>
      <c r="V59" s="267"/>
      <c r="W59" s="252"/>
      <c r="X59" s="252"/>
      <c r="Y59" s="252"/>
      <c r="Z59" s="252"/>
      <c r="AA59" s="239"/>
      <c r="AB59" s="239"/>
      <c r="AC59" s="239"/>
      <c r="AD59" s="239"/>
      <c r="AE59" s="239"/>
      <c r="AF59" s="239"/>
      <c r="AG59" s="239"/>
      <c r="AH59" s="239"/>
      <c r="AI59" s="239"/>
      <c r="AM59" s="239"/>
      <c r="AN59" s="239"/>
      <c r="AO59" s="239"/>
      <c r="AP59" s="239"/>
      <c r="AQ59" s="239"/>
    </row>
    <row r="60" spans="1:43">
      <c r="A60" s="252"/>
      <c r="B60" s="252"/>
      <c r="C60" s="262" t="s">
        <v>115</v>
      </c>
      <c r="D60" s="252"/>
      <c r="E60" s="252"/>
      <c r="F60" s="252"/>
      <c r="G60" s="263" t="s">
        <v>342</v>
      </c>
      <c r="H60" s="252"/>
      <c r="I60" s="252"/>
      <c r="J60" s="252"/>
      <c r="K60" s="252"/>
      <c r="L60" s="252"/>
      <c r="M60" s="252"/>
      <c r="N60" s="252"/>
      <c r="O60" s="252"/>
      <c r="P60" s="252"/>
      <c r="Q60" s="253"/>
      <c r="R60" s="446">
        <f ca="1">'financieel nadeel'!S31</f>
        <v>1168</v>
      </c>
      <c r="S60" s="446"/>
      <c r="T60" s="446"/>
      <c r="U60" s="264" t="s">
        <v>25</v>
      </c>
      <c r="V60" s="264"/>
      <c r="W60" s="252"/>
      <c r="X60" s="252"/>
      <c r="Y60" s="252"/>
      <c r="Z60" s="252"/>
      <c r="AA60" s="239"/>
      <c r="AB60" s="239"/>
      <c r="AC60" s="239"/>
      <c r="AD60" s="239"/>
      <c r="AE60" s="239"/>
      <c r="AF60" s="239"/>
      <c r="AG60" s="239"/>
      <c r="AH60" s="239"/>
      <c r="AI60" s="239"/>
      <c r="AM60" s="239"/>
      <c r="AN60" s="239"/>
      <c r="AO60" s="239"/>
      <c r="AP60" s="239"/>
      <c r="AQ60" s="239"/>
    </row>
    <row r="61" spans="1:43" ht="6" customHeight="1">
      <c r="A61" s="252"/>
      <c r="B61" s="252"/>
      <c r="C61" s="252"/>
      <c r="D61" s="252"/>
      <c r="E61" s="252"/>
      <c r="F61" s="252"/>
      <c r="G61" s="252"/>
      <c r="H61" s="252"/>
      <c r="I61" s="252"/>
      <c r="J61" s="252"/>
      <c r="K61" s="252"/>
      <c r="L61" s="252"/>
      <c r="M61" s="252"/>
      <c r="N61" s="252"/>
      <c r="O61" s="252"/>
      <c r="P61" s="252"/>
      <c r="Q61" s="253"/>
      <c r="R61" s="266"/>
      <c r="S61" s="266"/>
      <c r="T61" s="259"/>
      <c r="U61" s="267"/>
      <c r="V61" s="267"/>
      <c r="W61" s="252"/>
      <c r="X61" s="252"/>
      <c r="Y61" s="252"/>
      <c r="Z61" s="252"/>
      <c r="AA61" s="239"/>
      <c r="AB61" s="239"/>
      <c r="AC61" s="239"/>
      <c r="AD61" s="239"/>
      <c r="AE61" s="239"/>
      <c r="AF61" s="239"/>
      <c r="AG61" s="239"/>
      <c r="AH61" s="239"/>
      <c r="AI61" s="239"/>
      <c r="AM61" s="239"/>
      <c r="AN61" s="239"/>
      <c r="AO61" s="239"/>
      <c r="AP61" s="239"/>
      <c r="AQ61" s="239"/>
    </row>
    <row r="62" spans="1:43">
      <c r="A62" s="252"/>
      <c r="B62" s="252"/>
      <c r="C62" s="345" t="s">
        <v>140</v>
      </c>
      <c r="D62" s="346"/>
      <c r="E62" s="346"/>
      <c r="F62" s="346"/>
      <c r="G62" s="346" t="s">
        <v>554</v>
      </c>
      <c r="H62" s="346"/>
      <c r="I62" s="346"/>
      <c r="J62" s="346"/>
      <c r="K62" s="346"/>
      <c r="L62" s="346"/>
      <c r="M62" s="346"/>
      <c r="N62" s="346"/>
      <c r="O62" s="346"/>
      <c r="P62" s="346"/>
      <c r="Q62" s="347"/>
      <c r="R62" s="461">
        <f ca="1">R60-R56</f>
        <v>757</v>
      </c>
      <c r="S62" s="461"/>
      <c r="T62" s="461"/>
      <c r="U62" s="348" t="s">
        <v>25</v>
      </c>
      <c r="V62" s="348"/>
      <c r="W62" s="346"/>
      <c r="X62" s="268"/>
      <c r="Y62" s="268"/>
      <c r="Z62" s="268"/>
      <c r="AA62" s="239"/>
      <c r="AB62" s="239"/>
      <c r="AC62" s="239"/>
      <c r="AD62" s="239"/>
      <c r="AE62" s="239"/>
      <c r="AF62" s="239"/>
      <c r="AG62" s="239"/>
      <c r="AH62" s="239"/>
      <c r="AI62" s="239"/>
      <c r="AM62" s="239"/>
      <c r="AN62" s="239"/>
      <c r="AO62" s="239"/>
      <c r="AP62" s="239"/>
      <c r="AQ62" s="239"/>
    </row>
    <row r="63" spans="1:43">
      <c r="A63" s="252"/>
      <c r="B63" s="252"/>
      <c r="C63" s="346"/>
      <c r="D63" s="346"/>
      <c r="E63" s="346"/>
      <c r="F63" s="346"/>
      <c r="G63" s="346"/>
      <c r="H63" s="346"/>
      <c r="I63" s="346"/>
      <c r="J63" s="346"/>
      <c r="K63" s="346"/>
      <c r="L63" s="346"/>
      <c r="M63" s="346"/>
      <c r="N63" s="346"/>
      <c r="O63" s="346"/>
      <c r="P63" s="346"/>
      <c r="Q63" s="347"/>
      <c r="R63" s="443">
        <f ca="1">R62/12</f>
        <v>63.083333333333336</v>
      </c>
      <c r="S63" s="443"/>
      <c r="T63" s="443"/>
      <c r="U63" s="349" t="s">
        <v>60</v>
      </c>
      <c r="V63" s="350"/>
      <c r="W63" s="346"/>
      <c r="X63" s="268"/>
      <c r="Y63" s="268"/>
      <c r="Z63" s="268"/>
      <c r="AA63" s="239"/>
      <c r="AB63" s="239"/>
      <c r="AC63" s="239"/>
      <c r="AD63" s="239"/>
      <c r="AE63" s="239"/>
      <c r="AF63" s="239"/>
      <c r="AG63" s="239"/>
      <c r="AH63" s="239"/>
      <c r="AI63" s="239"/>
      <c r="AM63" s="239"/>
      <c r="AN63" s="239"/>
      <c r="AO63" s="239"/>
      <c r="AP63" s="239"/>
      <c r="AQ63" s="239"/>
    </row>
    <row r="64" spans="1:43">
      <c r="A64" s="252"/>
      <c r="B64" s="252"/>
      <c r="C64" s="252"/>
      <c r="D64" s="252"/>
      <c r="E64" s="252"/>
      <c r="F64" s="252"/>
      <c r="G64" s="252"/>
      <c r="H64" s="252"/>
      <c r="I64" s="252"/>
      <c r="J64" s="252"/>
      <c r="K64" s="252"/>
      <c r="L64" s="252"/>
      <c r="M64" s="252"/>
      <c r="N64" s="252"/>
      <c r="O64" s="252"/>
      <c r="P64" s="252"/>
      <c r="Q64" s="253"/>
      <c r="R64" s="254"/>
      <c r="S64" s="255"/>
      <c r="T64" s="256"/>
      <c r="U64" s="256"/>
      <c r="V64" s="254"/>
      <c r="W64" s="257"/>
      <c r="X64" s="257"/>
      <c r="Y64" s="257"/>
      <c r="Z64" s="257"/>
      <c r="AA64" s="239"/>
      <c r="AB64" s="239"/>
      <c r="AC64" s="239"/>
      <c r="AD64" s="239"/>
      <c r="AE64" s="239"/>
      <c r="AF64" s="239"/>
      <c r="AG64" s="239"/>
      <c r="AH64" s="239"/>
      <c r="AI64" s="239"/>
      <c r="AM64" s="239"/>
      <c r="AN64" s="239"/>
      <c r="AO64" s="239"/>
      <c r="AP64" s="239"/>
      <c r="AQ64" s="239"/>
    </row>
    <row r="65" spans="1:43" ht="41" customHeight="1">
      <c r="A65" s="224"/>
      <c r="B65" s="224"/>
      <c r="C65" s="224"/>
      <c r="D65" s="224"/>
      <c r="E65" s="224"/>
      <c r="F65" s="224"/>
      <c r="G65" s="224"/>
      <c r="H65" s="224"/>
      <c r="I65" s="224"/>
      <c r="J65" s="224"/>
      <c r="K65" s="224"/>
      <c r="L65" s="224"/>
      <c r="M65" s="230"/>
      <c r="N65" s="230"/>
      <c r="O65" s="230"/>
      <c r="P65" s="230"/>
      <c r="Q65" s="230"/>
      <c r="R65" s="230"/>
      <c r="S65" s="230"/>
      <c r="T65" s="225"/>
      <c r="U65" s="225"/>
      <c r="V65" s="226"/>
      <c r="W65" s="226"/>
      <c r="X65" s="226"/>
      <c r="Y65" s="226"/>
      <c r="Z65" s="226"/>
      <c r="AA65" s="239"/>
      <c r="AB65" s="239"/>
      <c r="AC65" s="239"/>
      <c r="AD65" s="239"/>
      <c r="AE65" s="239"/>
      <c r="AF65" s="239"/>
      <c r="AG65" s="239"/>
      <c r="AH65" s="239"/>
      <c r="AI65" s="239"/>
      <c r="AM65" s="239"/>
      <c r="AN65" s="239"/>
      <c r="AO65" s="239"/>
      <c r="AP65" s="239"/>
      <c r="AQ65" s="239"/>
    </row>
    <row r="66" spans="1:43" ht="28">
      <c r="A66" s="224"/>
      <c r="B66" s="224"/>
      <c r="C66" s="235" t="s">
        <v>65</v>
      </c>
      <c r="D66" s="224"/>
      <c r="E66" s="224"/>
      <c r="F66" s="224"/>
      <c r="G66" s="224"/>
      <c r="H66" s="224"/>
      <c r="I66" s="224"/>
      <c r="J66" s="224"/>
      <c r="K66" s="224"/>
      <c r="L66" s="224"/>
      <c r="M66" s="224"/>
      <c r="N66" s="230"/>
      <c r="O66" s="224"/>
      <c r="P66" s="224"/>
      <c r="Q66" s="225"/>
      <c r="R66" s="225"/>
      <c r="S66" s="225"/>
      <c r="T66" s="225"/>
      <c r="U66" s="225"/>
      <c r="V66" s="226"/>
      <c r="W66" s="226"/>
      <c r="X66" s="226"/>
      <c r="Y66" s="226"/>
      <c r="Z66" s="226"/>
      <c r="AA66" s="239"/>
      <c r="AB66" s="239"/>
      <c r="AC66" s="239"/>
      <c r="AD66" s="239"/>
      <c r="AE66" s="239"/>
      <c r="AF66" s="239"/>
      <c r="AG66" s="239"/>
      <c r="AH66" s="239"/>
      <c r="AI66" s="239"/>
      <c r="AM66" s="239"/>
      <c r="AN66" s="239"/>
      <c r="AO66" s="239"/>
      <c r="AP66" s="239"/>
      <c r="AQ66" s="239"/>
    </row>
    <row r="67" spans="1:43" ht="54" customHeight="1">
      <c r="A67" s="224"/>
      <c r="B67" s="224"/>
      <c r="C67" s="435" t="s">
        <v>495</v>
      </c>
      <c r="D67" s="435"/>
      <c r="E67" s="435"/>
      <c r="F67" s="435"/>
      <c r="G67" s="435"/>
      <c r="H67" s="435"/>
      <c r="I67" s="435"/>
      <c r="J67" s="435"/>
      <c r="K67" s="435"/>
      <c r="L67" s="435"/>
      <c r="M67" s="435"/>
      <c r="N67" s="435"/>
      <c r="O67" s="435"/>
      <c r="P67" s="435"/>
      <c r="Q67" s="435"/>
      <c r="R67" s="435"/>
      <c r="S67" s="435"/>
      <c r="T67" s="435"/>
      <c r="U67" s="435"/>
      <c r="V67" s="435"/>
      <c r="W67" s="435"/>
      <c r="X67" s="236"/>
      <c r="Y67" s="236"/>
      <c r="Z67" s="224"/>
      <c r="AC67" s="227"/>
      <c r="AD67" s="269"/>
      <c r="AE67" s="269"/>
      <c r="AF67" s="269"/>
      <c r="AG67" s="269"/>
      <c r="AI67" s="227"/>
      <c r="AM67" s="239"/>
      <c r="AN67" s="239"/>
      <c r="AO67" s="239"/>
      <c r="AP67" s="239"/>
      <c r="AQ67" s="239"/>
    </row>
    <row r="68" spans="1:43">
      <c r="A68" s="224"/>
      <c r="B68" s="224"/>
      <c r="C68" s="224"/>
      <c r="D68" s="224"/>
      <c r="E68" s="224"/>
      <c r="F68" s="224"/>
      <c r="G68" s="224"/>
      <c r="H68" s="224"/>
      <c r="I68" s="224"/>
      <c r="J68" s="224"/>
      <c r="K68" s="224"/>
      <c r="L68" s="224"/>
      <c r="M68" s="242"/>
      <c r="N68" s="230"/>
      <c r="O68" s="224"/>
      <c r="P68" s="224"/>
      <c r="Q68" s="225"/>
      <c r="R68" s="225"/>
      <c r="S68" s="225"/>
      <c r="T68" s="225"/>
      <c r="U68" s="225"/>
      <c r="V68" s="226"/>
      <c r="W68" s="226"/>
      <c r="X68" s="226"/>
      <c r="Y68" s="226"/>
      <c r="Z68" s="226"/>
      <c r="AC68" s="227"/>
      <c r="AD68" s="269"/>
      <c r="AE68" s="269"/>
      <c r="AF68" s="269"/>
      <c r="AG68" s="269"/>
      <c r="AI68" s="227"/>
      <c r="AM68" s="239"/>
      <c r="AN68" s="239"/>
      <c r="AO68" s="239"/>
      <c r="AP68" s="239"/>
      <c r="AQ68" s="239"/>
    </row>
    <row r="69" spans="1:43" ht="22">
      <c r="A69" s="224"/>
      <c r="B69" s="224"/>
      <c r="C69" s="241" t="s">
        <v>17</v>
      </c>
      <c r="D69" s="224"/>
      <c r="E69" s="224"/>
      <c r="F69" s="224"/>
      <c r="G69" s="224"/>
      <c r="H69" s="224"/>
      <c r="I69" s="224"/>
      <c r="J69" s="224"/>
      <c r="K69" s="224"/>
      <c r="L69" s="224"/>
      <c r="M69" s="224"/>
      <c r="N69" s="230"/>
      <c r="O69" s="224"/>
      <c r="P69" s="224"/>
      <c r="Q69" s="225"/>
      <c r="R69" s="225"/>
      <c r="S69" s="225"/>
      <c r="T69" s="225"/>
      <c r="U69" s="225"/>
      <c r="V69" s="226"/>
      <c r="W69" s="226"/>
      <c r="X69" s="226"/>
      <c r="Y69" s="226"/>
      <c r="Z69" s="226"/>
      <c r="AC69" s="227"/>
      <c r="AD69" s="269"/>
      <c r="AE69" s="269"/>
      <c r="AF69" s="269"/>
      <c r="AG69" s="269"/>
      <c r="AI69" s="227"/>
      <c r="AM69" s="239"/>
      <c r="AN69" s="239"/>
      <c r="AO69" s="239"/>
      <c r="AP69" s="239"/>
      <c r="AQ69" s="239"/>
    </row>
    <row r="70" spans="1:43">
      <c r="A70" s="224"/>
      <c r="B70" s="224"/>
      <c r="C70" s="224"/>
      <c r="D70" s="224"/>
      <c r="E70" s="224"/>
      <c r="F70" s="224"/>
      <c r="G70" s="224"/>
      <c r="H70" s="224"/>
      <c r="I70" s="224"/>
      <c r="J70" s="224"/>
      <c r="K70" s="224"/>
      <c r="L70" s="224"/>
      <c r="M70" s="224"/>
      <c r="N70" s="230"/>
      <c r="O70" s="224"/>
      <c r="P70" s="224"/>
      <c r="Q70" s="225"/>
      <c r="R70" s="225"/>
      <c r="S70" s="225"/>
      <c r="T70" s="225"/>
      <c r="U70" s="225"/>
      <c r="V70" s="226"/>
      <c r="W70" s="226"/>
      <c r="X70" s="226"/>
      <c r="Y70" s="226"/>
      <c r="Z70" s="226"/>
      <c r="AC70" s="227"/>
      <c r="AD70" s="269"/>
      <c r="AE70" s="269"/>
      <c r="AF70" s="269"/>
      <c r="AG70" s="269"/>
      <c r="AI70" s="227"/>
      <c r="AM70" s="239"/>
      <c r="AN70" s="239"/>
      <c r="AO70" s="239"/>
      <c r="AP70" s="239"/>
      <c r="AQ70" s="239"/>
    </row>
    <row r="71" spans="1:43">
      <c r="A71" s="224"/>
      <c r="B71" s="224"/>
      <c r="C71" s="237" t="s">
        <v>55</v>
      </c>
      <c r="D71" s="224"/>
      <c r="E71" s="224"/>
      <c r="F71" s="224"/>
      <c r="G71" s="224" t="s">
        <v>96</v>
      </c>
      <c r="H71" s="224"/>
      <c r="I71" s="224"/>
      <c r="J71" s="224"/>
      <c r="K71" s="224"/>
      <c r="L71" s="224"/>
      <c r="M71" s="224"/>
      <c r="N71" s="224"/>
      <c r="O71" s="224"/>
      <c r="P71" s="224"/>
      <c r="Q71" s="225"/>
      <c r="R71" s="434">
        <v>1200</v>
      </c>
      <c r="S71" s="434"/>
      <c r="T71" s="434"/>
      <c r="U71" s="431" t="s">
        <v>9</v>
      </c>
      <c r="V71" s="431"/>
      <c r="W71" s="226"/>
      <c r="X71" s="226"/>
      <c r="Y71" s="226"/>
      <c r="Z71" s="226"/>
      <c r="AC71" s="227"/>
      <c r="AI71" s="227"/>
      <c r="AM71" s="239"/>
      <c r="AN71" s="239"/>
      <c r="AO71" s="239"/>
      <c r="AP71" s="239"/>
      <c r="AQ71" s="239"/>
    </row>
    <row r="72" spans="1:43" ht="9" customHeight="1">
      <c r="A72" s="224"/>
      <c r="B72" s="224"/>
      <c r="C72" s="224"/>
      <c r="D72" s="224"/>
      <c r="E72" s="224"/>
      <c r="F72" s="224"/>
      <c r="G72" s="224"/>
      <c r="H72" s="224"/>
      <c r="I72" s="224"/>
      <c r="J72" s="224"/>
      <c r="K72" s="224"/>
      <c r="L72" s="224"/>
      <c r="M72" s="224"/>
      <c r="N72" s="224"/>
      <c r="O72" s="224"/>
      <c r="P72" s="224"/>
      <c r="Q72" s="225"/>
      <c r="R72" s="242"/>
      <c r="S72" s="230"/>
      <c r="T72" s="224"/>
      <c r="U72" s="233"/>
      <c r="V72" s="233"/>
      <c r="W72" s="224"/>
      <c r="X72" s="224"/>
      <c r="Y72" s="224"/>
      <c r="Z72" s="224"/>
      <c r="AA72" s="239"/>
      <c r="AB72" s="239"/>
      <c r="AC72" s="239"/>
      <c r="AD72" s="239"/>
      <c r="AE72" s="239"/>
      <c r="AF72" s="239"/>
      <c r="AG72" s="239"/>
      <c r="AH72" s="239"/>
      <c r="AI72" s="239"/>
      <c r="AM72" s="239"/>
      <c r="AN72" s="239"/>
      <c r="AO72" s="239"/>
      <c r="AP72" s="239"/>
      <c r="AQ72" s="239"/>
    </row>
    <row r="73" spans="1:43">
      <c r="A73" s="224"/>
      <c r="B73" s="224"/>
      <c r="C73" s="237" t="s">
        <v>209</v>
      </c>
      <c r="D73" s="224"/>
      <c r="E73" s="224"/>
      <c r="F73" s="224"/>
      <c r="G73" s="224" t="s">
        <v>210</v>
      </c>
      <c r="H73" s="224"/>
      <c r="I73" s="224"/>
      <c r="J73" s="224"/>
      <c r="K73" s="224"/>
      <c r="L73" s="224"/>
      <c r="M73" s="224"/>
      <c r="N73" s="224"/>
      <c r="O73" s="224"/>
      <c r="P73" s="224"/>
      <c r="Q73" s="225"/>
      <c r="R73" s="447">
        <v>5.99</v>
      </c>
      <c r="S73" s="447"/>
      <c r="T73" s="447"/>
      <c r="U73" s="233" t="s">
        <v>60</v>
      </c>
      <c r="V73" s="233"/>
      <c r="W73" s="224"/>
      <c r="X73" s="224"/>
      <c r="Y73" s="224"/>
      <c r="Z73" s="224"/>
      <c r="AA73" s="239"/>
      <c r="AB73" s="239"/>
      <c r="AC73" s="239"/>
      <c r="AD73" s="239"/>
      <c r="AE73" s="239"/>
      <c r="AF73" s="239"/>
      <c r="AG73" s="239"/>
      <c r="AH73" s="239"/>
      <c r="AI73" s="239"/>
      <c r="AM73" s="239"/>
      <c r="AN73" s="239"/>
      <c r="AO73" s="239"/>
      <c r="AP73" s="239"/>
      <c r="AQ73" s="239"/>
    </row>
    <row r="74" spans="1:43" ht="9" customHeight="1">
      <c r="A74" s="224"/>
      <c r="B74" s="224"/>
      <c r="C74" s="224"/>
      <c r="D74" s="224"/>
      <c r="E74" s="224"/>
      <c r="F74" s="224"/>
      <c r="G74" s="224"/>
      <c r="H74" s="224"/>
      <c r="I74" s="224"/>
      <c r="J74" s="224"/>
      <c r="K74" s="224"/>
      <c r="L74" s="224"/>
      <c r="M74" s="224"/>
      <c r="N74" s="224"/>
      <c r="O74" s="224"/>
      <c r="P74" s="224"/>
      <c r="Q74" s="225"/>
      <c r="R74" s="270"/>
      <c r="S74" s="230"/>
      <c r="T74" s="242"/>
      <c r="U74" s="233"/>
      <c r="V74" s="233"/>
      <c r="W74" s="226"/>
      <c r="X74" s="226"/>
      <c r="Y74" s="226"/>
      <c r="Z74" s="226"/>
      <c r="AC74" s="227"/>
      <c r="AI74" s="227"/>
      <c r="AM74" s="239"/>
      <c r="AN74" s="239"/>
      <c r="AO74" s="239"/>
      <c r="AP74" s="239"/>
      <c r="AQ74" s="239"/>
    </row>
    <row r="75" spans="1:43">
      <c r="A75" s="224"/>
      <c r="B75" s="224"/>
      <c r="C75" s="237" t="s">
        <v>59</v>
      </c>
      <c r="D75" s="224"/>
      <c r="E75" s="224"/>
      <c r="F75" s="224"/>
      <c r="G75" s="224" t="s">
        <v>85</v>
      </c>
      <c r="H75" s="224"/>
      <c r="I75" s="224"/>
      <c r="J75" s="224"/>
      <c r="K75" s="224"/>
      <c r="L75" s="224"/>
      <c r="M75" s="224"/>
      <c r="N75" s="224"/>
      <c r="O75" s="224"/>
      <c r="P75" s="224"/>
      <c r="Q75" s="225"/>
      <c r="R75" s="447">
        <v>1.17</v>
      </c>
      <c r="S75" s="447"/>
      <c r="T75" s="447"/>
      <c r="U75" s="233" t="s">
        <v>205</v>
      </c>
      <c r="V75" s="233"/>
      <c r="W75" s="224"/>
      <c r="X75" s="224"/>
      <c r="Y75" s="224"/>
      <c r="Z75" s="224"/>
      <c r="AA75" s="239"/>
      <c r="AB75" s="239"/>
      <c r="AC75" s="239"/>
      <c r="AD75" s="239"/>
      <c r="AE75" s="239"/>
      <c r="AF75" s="239"/>
      <c r="AG75" s="239"/>
      <c r="AH75" s="239"/>
      <c r="AI75" s="239"/>
      <c r="AM75" s="239"/>
      <c r="AN75" s="239"/>
      <c r="AO75" s="239"/>
      <c r="AP75" s="239"/>
      <c r="AQ75" s="239"/>
    </row>
    <row r="76" spans="1:43" ht="9" customHeight="1">
      <c r="A76" s="224"/>
      <c r="B76" s="224"/>
      <c r="C76" s="224"/>
      <c r="D76" s="224"/>
      <c r="E76" s="224"/>
      <c r="F76" s="224"/>
      <c r="G76" s="224"/>
      <c r="H76" s="224"/>
      <c r="I76" s="224"/>
      <c r="J76" s="224"/>
      <c r="K76" s="224"/>
      <c r="L76" s="224"/>
      <c r="M76" s="224"/>
      <c r="N76" s="224"/>
      <c r="O76" s="224"/>
      <c r="P76" s="224"/>
      <c r="Q76" s="225"/>
      <c r="R76" s="242"/>
      <c r="S76" s="230"/>
      <c r="T76" s="224"/>
      <c r="U76" s="233"/>
      <c r="V76" s="233"/>
      <c r="W76" s="224"/>
      <c r="X76" s="224"/>
      <c r="Y76" s="224"/>
      <c r="Z76" s="224"/>
      <c r="AA76" s="239"/>
      <c r="AB76" s="239"/>
      <c r="AC76" s="240"/>
      <c r="AD76" s="240"/>
      <c r="AE76" s="240"/>
      <c r="AF76" s="239"/>
      <c r="AG76" s="239"/>
      <c r="AH76" s="239"/>
      <c r="AI76" s="239"/>
      <c r="AM76" s="239"/>
      <c r="AN76" s="239"/>
      <c r="AO76" s="239"/>
      <c r="AP76" s="239"/>
      <c r="AQ76" s="239"/>
    </row>
    <row r="77" spans="1:43" ht="17" customHeight="1">
      <c r="A77" s="224"/>
      <c r="B77" s="224"/>
      <c r="C77" s="237" t="s">
        <v>64</v>
      </c>
      <c r="D77" s="224"/>
      <c r="E77" s="224"/>
      <c r="F77" s="224"/>
      <c r="G77" s="232" t="s">
        <v>417</v>
      </c>
      <c r="H77" s="224"/>
      <c r="I77" s="224"/>
      <c r="J77" s="224"/>
      <c r="K77" s="224"/>
      <c r="L77" s="224"/>
      <c r="M77" s="224"/>
      <c r="N77" s="224"/>
      <c r="O77" s="224"/>
      <c r="P77" s="224"/>
      <c r="Q77" s="225"/>
      <c r="R77" s="451">
        <v>54789</v>
      </c>
      <c r="S77" s="451"/>
      <c r="T77" s="451"/>
      <c r="U77" s="431" t="str">
        <f>IF(ISNUMBER(R77),"","dit is geen geldige datum")</f>
        <v/>
      </c>
      <c r="V77" s="431"/>
      <c r="W77" s="452"/>
      <c r="X77" s="452"/>
      <c r="Y77" s="226"/>
      <c r="Z77" s="226"/>
      <c r="AC77" s="227"/>
      <c r="AI77" s="227"/>
      <c r="AM77" s="239"/>
      <c r="AN77" s="239"/>
      <c r="AO77" s="239"/>
      <c r="AP77" s="239"/>
      <c r="AQ77" s="239"/>
    </row>
    <row r="78" spans="1:43" ht="27" customHeight="1">
      <c r="A78" s="224"/>
      <c r="B78" s="224"/>
      <c r="C78" s="224"/>
      <c r="D78" s="224"/>
      <c r="E78" s="224"/>
      <c r="F78" s="224"/>
      <c r="G78" s="224"/>
      <c r="H78" s="224"/>
      <c r="I78" s="224"/>
      <c r="J78" s="224"/>
      <c r="K78" s="224"/>
      <c r="L78" s="224"/>
      <c r="M78" s="224"/>
      <c r="N78" s="230"/>
      <c r="O78" s="224"/>
      <c r="P78" s="224"/>
      <c r="Q78" s="225"/>
      <c r="R78" s="225"/>
      <c r="S78" s="225"/>
      <c r="T78" s="225"/>
      <c r="U78" s="225"/>
      <c r="V78" s="226"/>
      <c r="W78" s="226"/>
      <c r="X78" s="226"/>
      <c r="Y78" s="226"/>
      <c r="Z78" s="226"/>
      <c r="AC78" s="271"/>
      <c r="AD78" s="272"/>
      <c r="AE78" s="272"/>
      <c r="AF78" s="269"/>
      <c r="AG78" s="269"/>
      <c r="AI78" s="271"/>
      <c r="AJ78" s="273"/>
      <c r="AK78" s="273"/>
      <c r="AM78" s="239"/>
      <c r="AN78" s="239"/>
      <c r="AO78" s="239"/>
      <c r="AP78" s="239"/>
      <c r="AQ78" s="239"/>
    </row>
    <row r="79" spans="1:43" ht="28">
      <c r="A79" s="224"/>
      <c r="B79" s="224"/>
      <c r="C79" s="235" t="s">
        <v>126</v>
      </c>
      <c r="D79" s="224"/>
      <c r="E79" s="224"/>
      <c r="F79" s="224"/>
      <c r="G79" s="224"/>
      <c r="H79" s="224"/>
      <c r="I79" s="224"/>
      <c r="J79" s="224"/>
      <c r="K79" s="224"/>
      <c r="L79" s="230"/>
      <c r="M79" s="230"/>
      <c r="N79" s="230"/>
      <c r="O79" s="230"/>
      <c r="P79" s="224"/>
      <c r="Q79" s="274"/>
      <c r="R79" s="274"/>
      <c r="S79" s="274"/>
      <c r="T79" s="274"/>
      <c r="U79" s="274"/>
      <c r="V79" s="224"/>
      <c r="W79" s="224"/>
      <c r="X79" s="224"/>
      <c r="Y79" s="224"/>
      <c r="Z79" s="224"/>
      <c r="AC79" s="271"/>
      <c r="AI79" s="271"/>
      <c r="AM79" s="239"/>
      <c r="AN79" s="239"/>
      <c r="AO79" s="239"/>
      <c r="AP79" s="239"/>
      <c r="AQ79" s="239"/>
    </row>
    <row r="80" spans="1:43">
      <c r="A80" s="224"/>
      <c r="B80" s="224"/>
      <c r="C80" s="275" t="s">
        <v>545</v>
      </c>
      <c r="D80" s="224"/>
      <c r="E80" s="224"/>
      <c r="F80" s="224"/>
      <c r="G80" s="224"/>
      <c r="H80" s="224"/>
      <c r="I80" s="224"/>
      <c r="J80" s="224"/>
      <c r="K80" s="224"/>
      <c r="L80" s="230"/>
      <c r="M80" s="230"/>
      <c r="N80" s="230"/>
      <c r="O80" s="230"/>
      <c r="P80" s="224"/>
      <c r="Q80" s="274"/>
      <c r="R80" s="274"/>
      <c r="S80" s="274"/>
      <c r="T80" s="274"/>
      <c r="U80" s="274"/>
      <c r="V80" s="224"/>
      <c r="W80" s="224"/>
      <c r="X80" s="224"/>
      <c r="Y80" s="224"/>
      <c r="Z80" s="224"/>
      <c r="AC80" s="271"/>
      <c r="AI80" s="271"/>
      <c r="AM80" s="239"/>
      <c r="AN80" s="239"/>
      <c r="AO80" s="239"/>
      <c r="AP80" s="239"/>
      <c r="AQ80" s="239"/>
    </row>
    <row r="81" spans="1:43">
      <c r="A81" s="224"/>
      <c r="B81" s="224"/>
      <c r="C81" s="276"/>
      <c r="D81" s="224"/>
      <c r="E81" s="224"/>
      <c r="F81" s="224"/>
      <c r="G81" s="224"/>
      <c r="H81" s="224"/>
      <c r="I81" s="224"/>
      <c r="J81" s="224"/>
      <c r="K81" s="224"/>
      <c r="L81" s="230"/>
      <c r="M81" s="230"/>
      <c r="N81" s="230"/>
      <c r="O81" s="230"/>
      <c r="P81" s="224"/>
      <c r="Q81" s="274"/>
      <c r="R81" s="274"/>
      <c r="S81" s="274"/>
      <c r="T81" s="274"/>
      <c r="U81" s="274"/>
      <c r="V81" s="224"/>
      <c r="W81" s="224"/>
      <c r="X81" s="224"/>
      <c r="Y81" s="224"/>
      <c r="Z81" s="224"/>
      <c r="AC81" s="271"/>
      <c r="AI81" s="271"/>
      <c r="AM81" s="239"/>
      <c r="AN81" s="239"/>
      <c r="AO81" s="239"/>
      <c r="AP81" s="239"/>
      <c r="AQ81" s="239"/>
    </row>
    <row r="82" spans="1:43" ht="22">
      <c r="A82" s="224"/>
      <c r="B82" s="224"/>
      <c r="C82" s="241" t="s">
        <v>123</v>
      </c>
      <c r="D82" s="224"/>
      <c r="E82" s="224"/>
      <c r="F82" s="224"/>
      <c r="G82" s="224"/>
      <c r="H82" s="224"/>
      <c r="I82" s="224"/>
      <c r="J82" s="224"/>
      <c r="K82" s="224"/>
      <c r="L82" s="224"/>
      <c r="M82" s="224"/>
      <c r="N82" s="224"/>
      <c r="O82" s="224"/>
      <c r="P82" s="224"/>
      <c r="Q82" s="225"/>
      <c r="R82" s="224"/>
      <c r="S82" s="224"/>
      <c r="T82" s="230"/>
      <c r="U82" s="224"/>
      <c r="V82" s="224"/>
      <c r="W82" s="224"/>
      <c r="X82" s="224"/>
      <c r="Y82" s="224"/>
      <c r="Z82" s="224"/>
      <c r="AB82" s="244"/>
      <c r="AC82" s="244"/>
      <c r="AD82" s="244"/>
      <c r="AE82" s="244"/>
      <c r="AF82" s="244"/>
      <c r="AH82" s="244"/>
      <c r="AI82" s="244"/>
      <c r="AJ82" s="224"/>
      <c r="AK82" s="224"/>
      <c r="AL82" s="224"/>
      <c r="AM82" s="239"/>
      <c r="AN82" s="239"/>
      <c r="AO82" s="239"/>
      <c r="AP82" s="239"/>
      <c r="AQ82" s="239"/>
    </row>
    <row r="83" spans="1:43" ht="9" customHeight="1">
      <c r="A83" s="224"/>
      <c r="B83" s="224"/>
      <c r="C83" s="224"/>
      <c r="D83" s="224"/>
      <c r="E83" s="224"/>
      <c r="F83" s="224"/>
      <c r="G83" s="224"/>
      <c r="H83" s="224"/>
      <c r="I83" s="224"/>
      <c r="J83" s="224"/>
      <c r="K83" s="224"/>
      <c r="L83" s="224"/>
      <c r="M83" s="224"/>
      <c r="N83" s="224"/>
      <c r="O83" s="224"/>
      <c r="P83" s="224"/>
      <c r="Q83" s="225" t="s">
        <v>68</v>
      </c>
      <c r="R83" s="277"/>
      <c r="S83" s="224"/>
      <c r="T83" s="242"/>
      <c r="U83" s="224"/>
      <c r="V83" s="224"/>
      <c r="W83" s="224"/>
      <c r="X83" s="224"/>
      <c r="Y83" s="224"/>
      <c r="Z83" s="224"/>
      <c r="AB83" s="444"/>
      <c r="AC83" s="473" t="s">
        <v>149</v>
      </c>
      <c r="AD83" s="278"/>
      <c r="AE83" s="278"/>
      <c r="AF83" s="224"/>
      <c r="AH83" s="224"/>
      <c r="AI83" s="473" t="s">
        <v>193</v>
      </c>
      <c r="AJ83" s="278"/>
      <c r="AK83" s="278"/>
      <c r="AL83" s="224"/>
      <c r="AM83" s="239"/>
      <c r="AN83" s="239"/>
      <c r="AO83" s="239"/>
      <c r="AP83" s="239"/>
      <c r="AQ83" s="239"/>
    </row>
    <row r="84" spans="1:43" ht="15" customHeight="1">
      <c r="A84" s="224"/>
      <c r="B84" s="224"/>
      <c r="C84" s="279" t="s">
        <v>79</v>
      </c>
      <c r="D84" s="224"/>
      <c r="E84" s="224"/>
      <c r="F84" s="224"/>
      <c r="G84" s="224" t="s">
        <v>135</v>
      </c>
      <c r="H84" s="224"/>
      <c r="I84" s="224"/>
      <c r="J84" s="224"/>
      <c r="K84" s="224"/>
      <c r="L84" s="230"/>
      <c r="M84" s="230"/>
      <c r="N84" s="230"/>
      <c r="O84" s="230"/>
      <c r="P84" s="224"/>
      <c r="Q84" s="274"/>
      <c r="R84" s="453" t="s">
        <v>504</v>
      </c>
      <c r="S84" s="453"/>
      <c r="T84" s="453"/>
      <c r="U84" s="224"/>
      <c r="V84" s="224"/>
      <c r="W84" s="224"/>
      <c r="X84" s="224"/>
      <c r="Y84" s="224"/>
      <c r="Z84" s="224"/>
      <c r="AB84" s="444"/>
      <c r="AC84" s="441"/>
      <c r="AD84" s="278"/>
      <c r="AE84" s="278"/>
      <c r="AF84" s="224"/>
      <c r="AH84" s="224"/>
      <c r="AI84" s="474"/>
      <c r="AJ84" s="278"/>
      <c r="AK84" s="278"/>
      <c r="AL84" s="224"/>
      <c r="AM84" s="239"/>
      <c r="AN84" s="239"/>
      <c r="AO84" s="239"/>
      <c r="AP84" s="239"/>
      <c r="AQ84" s="239"/>
    </row>
    <row r="85" spans="1:43" ht="9" customHeight="1">
      <c r="A85" s="224"/>
      <c r="B85" s="224"/>
      <c r="C85" s="224"/>
      <c r="D85" s="224"/>
      <c r="E85" s="224"/>
      <c r="F85" s="224"/>
      <c r="G85" s="224"/>
      <c r="H85" s="224"/>
      <c r="I85" s="224"/>
      <c r="J85" s="224"/>
      <c r="K85" s="224"/>
      <c r="L85" s="224"/>
      <c r="M85" s="224"/>
      <c r="N85" s="224"/>
      <c r="O85" s="224"/>
      <c r="P85" s="224"/>
      <c r="Q85" s="225"/>
      <c r="R85" s="277"/>
      <c r="S85" s="224"/>
      <c r="T85" s="242"/>
      <c r="U85" s="224"/>
      <c r="V85" s="224"/>
      <c r="W85" s="224"/>
      <c r="X85" s="224"/>
      <c r="Y85" s="224"/>
      <c r="Z85" s="224"/>
      <c r="AB85" s="444"/>
      <c r="AC85" s="278"/>
      <c r="AD85" s="278"/>
      <c r="AE85" s="278"/>
      <c r="AF85" s="224"/>
      <c r="AH85" s="224"/>
      <c r="AI85" s="278"/>
      <c r="AJ85" s="278"/>
      <c r="AK85" s="278"/>
      <c r="AL85" s="224"/>
      <c r="AM85" s="239"/>
      <c r="AN85" s="239"/>
      <c r="AO85" s="239"/>
      <c r="AP85" s="239"/>
      <c r="AQ85" s="239"/>
    </row>
    <row r="86" spans="1:43" ht="15" customHeight="1">
      <c r="A86" s="224"/>
      <c r="B86" s="224"/>
      <c r="C86" s="279" t="s">
        <v>117</v>
      </c>
      <c r="D86" s="224"/>
      <c r="E86" s="224"/>
      <c r="F86" s="224"/>
      <c r="G86" s="224" t="s">
        <v>527</v>
      </c>
      <c r="H86" s="224"/>
      <c r="I86" s="224"/>
      <c r="J86" s="224"/>
      <c r="K86" s="224"/>
      <c r="L86" s="230"/>
      <c r="M86" s="230"/>
      <c r="N86" s="230"/>
      <c r="O86" s="230"/>
      <c r="P86" s="224"/>
      <c r="Q86" s="453" t="s">
        <v>498</v>
      </c>
      <c r="R86" s="454"/>
      <c r="S86" s="454"/>
      <c r="T86" s="454"/>
      <c r="U86" s="224"/>
      <c r="V86" s="431" t="str">
        <f ca="1">IF(Q86=Productselectie!C7,"",Productselectie!C7)</f>
        <v/>
      </c>
      <c r="W86" s="452"/>
      <c r="X86" s="452"/>
      <c r="Y86" s="224"/>
      <c r="Z86" s="224"/>
      <c r="AB86" s="444"/>
      <c r="AC86" s="224" t="s">
        <v>199</v>
      </c>
      <c r="AD86" s="250">
        <f>R34</f>
        <v>3500</v>
      </c>
      <c r="AE86" s="224" t="s">
        <v>7</v>
      </c>
      <c r="AF86" s="224"/>
      <c r="AH86" s="224"/>
      <c r="AI86" s="224" t="s">
        <v>148</v>
      </c>
      <c r="AJ86" s="250">
        <f ca="1">Opbrengsten!AR31</f>
        <v>4500</v>
      </c>
      <c r="AK86" s="224" t="s">
        <v>7</v>
      </c>
      <c r="AL86" s="224"/>
      <c r="AM86" s="239"/>
      <c r="AN86" s="239"/>
      <c r="AO86" s="239"/>
      <c r="AP86" s="239"/>
      <c r="AQ86" s="239"/>
    </row>
    <row r="87" spans="1:43" ht="9" customHeight="1">
      <c r="A87" s="224"/>
      <c r="B87" s="224"/>
      <c r="C87" s="224"/>
      <c r="D87" s="224"/>
      <c r="E87" s="224"/>
      <c r="F87" s="224"/>
      <c r="G87" s="224"/>
      <c r="H87" s="224"/>
      <c r="I87" s="224"/>
      <c r="J87" s="224"/>
      <c r="K87" s="224"/>
      <c r="L87" s="224"/>
      <c r="M87" s="224"/>
      <c r="N87" s="224"/>
      <c r="O87" s="224"/>
      <c r="P87" s="224"/>
      <c r="Q87" s="225"/>
      <c r="R87" s="277"/>
      <c r="S87" s="224"/>
      <c r="T87" s="242"/>
      <c r="U87" s="224"/>
      <c r="V87" s="224"/>
      <c r="W87" s="224"/>
      <c r="X87" s="224"/>
      <c r="Y87" s="224"/>
      <c r="Z87" s="224"/>
      <c r="AB87" s="444"/>
      <c r="AC87" s="224"/>
      <c r="AD87" s="224"/>
      <c r="AE87" s="224"/>
      <c r="AF87" s="224"/>
      <c r="AH87" s="224"/>
      <c r="AI87" s="224"/>
      <c r="AJ87" s="224"/>
      <c r="AK87" s="224"/>
      <c r="AL87" s="224"/>
      <c r="AM87" s="239"/>
      <c r="AN87" s="239"/>
      <c r="AO87" s="239"/>
      <c r="AP87" s="239"/>
      <c r="AQ87" s="239"/>
    </row>
    <row r="88" spans="1:43" ht="15" customHeight="1">
      <c r="A88" s="224"/>
      <c r="B88" s="224"/>
      <c r="C88" s="237" t="s">
        <v>39</v>
      </c>
      <c r="D88" s="224"/>
      <c r="E88" s="224"/>
      <c r="F88" s="224"/>
      <c r="G88" s="224" t="s">
        <v>127</v>
      </c>
      <c r="H88" s="224"/>
      <c r="I88" s="224"/>
      <c r="J88" s="224"/>
      <c r="K88" s="224"/>
      <c r="L88" s="224"/>
      <c r="M88" s="224"/>
      <c r="N88" s="224"/>
      <c r="O88" s="224"/>
      <c r="P88" s="224"/>
      <c r="Q88" s="453" t="s">
        <v>505</v>
      </c>
      <c r="R88" s="454"/>
      <c r="S88" s="454"/>
      <c r="T88" s="454"/>
      <c r="U88" s="233"/>
      <c r="V88" s="477" t="str">
        <f ca="1">IF(V86=Productselectie!G1,V86,IF(Q88=Productselectie!C16,"",Productselectie!C16))</f>
        <v/>
      </c>
      <c r="W88" s="452"/>
      <c r="X88" s="452"/>
      <c r="Y88" s="224"/>
      <c r="Z88" s="224"/>
      <c r="AB88" s="444"/>
      <c r="AC88" s="224" t="s">
        <v>191</v>
      </c>
      <c r="AD88" s="280">
        <f>AD86/365</f>
        <v>9.5890410958904102</v>
      </c>
      <c r="AE88" s="224" t="s">
        <v>7</v>
      </c>
      <c r="AF88" s="224"/>
      <c r="AH88" s="224"/>
      <c r="AI88" s="224" t="s">
        <v>192</v>
      </c>
      <c r="AJ88" s="280">
        <f ca="1">AJ86/365</f>
        <v>12.328767123287671</v>
      </c>
      <c r="AK88" s="224" t="s">
        <v>7</v>
      </c>
      <c r="AL88" s="224"/>
      <c r="AM88" s="239"/>
      <c r="AN88" s="239"/>
      <c r="AO88" s="239"/>
      <c r="AP88" s="239"/>
      <c r="AQ88" s="239"/>
    </row>
    <row r="89" spans="1:43" ht="9" customHeight="1">
      <c r="A89" s="224"/>
      <c r="B89" s="224"/>
      <c r="C89" s="224"/>
      <c r="D89" s="224"/>
      <c r="E89" s="224"/>
      <c r="F89" s="224"/>
      <c r="G89" s="224"/>
      <c r="H89" s="224"/>
      <c r="I89" s="224"/>
      <c r="J89" s="224"/>
      <c r="K89" s="224"/>
      <c r="L89" s="224"/>
      <c r="M89" s="224"/>
      <c r="N89" s="224"/>
      <c r="O89" s="224"/>
      <c r="P89" s="224"/>
      <c r="Q89" s="224"/>
      <c r="R89" s="224"/>
      <c r="S89" s="224"/>
      <c r="T89" s="224"/>
      <c r="U89" s="224"/>
      <c r="V89" s="224"/>
      <c r="W89" s="224"/>
      <c r="X89" s="224"/>
      <c r="Y89" s="224"/>
      <c r="Z89" s="224"/>
      <c r="AB89" s="444"/>
      <c r="AC89" s="224"/>
      <c r="AD89" s="224"/>
      <c r="AE89" s="224"/>
      <c r="AF89" s="224"/>
      <c r="AH89" s="224"/>
      <c r="AI89" s="224"/>
      <c r="AJ89" s="224"/>
      <c r="AK89" s="224"/>
      <c r="AL89" s="224"/>
      <c r="AM89" s="239"/>
      <c r="AN89" s="239"/>
      <c r="AO89" s="239"/>
      <c r="AP89" s="239"/>
      <c r="AQ89" s="239"/>
    </row>
    <row r="90" spans="1:43" ht="15" customHeight="1">
      <c r="A90" s="224"/>
      <c r="B90" s="224"/>
      <c r="C90" s="279" t="s">
        <v>123</v>
      </c>
      <c r="D90" s="224"/>
      <c r="E90" s="224"/>
      <c r="F90" s="224"/>
      <c r="G90" s="224" t="s">
        <v>124</v>
      </c>
      <c r="H90" s="224"/>
      <c r="I90" s="224"/>
      <c r="J90" s="224"/>
      <c r="K90" s="224"/>
      <c r="L90" s="230"/>
      <c r="M90" s="453" t="s">
        <v>644</v>
      </c>
      <c r="N90" s="455"/>
      <c r="O90" s="455"/>
      <c r="P90" s="455"/>
      <c r="Q90" s="455"/>
      <c r="R90" s="455"/>
      <c r="S90" s="455"/>
      <c r="T90" s="455"/>
      <c r="U90" s="224"/>
      <c r="V90" s="477" t="str">
        <f ca="1">IF(V88=Productselectie!G1,V88,IF(M90=Productselectie!C28,"",Productselectie!C28))</f>
        <v/>
      </c>
      <c r="W90" s="452"/>
      <c r="X90" s="452"/>
      <c r="Y90" s="224"/>
      <c r="Z90" s="224"/>
      <c r="AB90" s="444"/>
      <c r="AC90" s="224" t="s">
        <v>194</v>
      </c>
      <c r="AD90" s="281">
        <v>2.2000000000000002</v>
      </c>
      <c r="AE90" s="224"/>
      <c r="AF90" s="224"/>
      <c r="AH90" s="224"/>
      <c r="AI90" s="224" t="s">
        <v>195</v>
      </c>
      <c r="AJ90" s="281">
        <v>1.6</v>
      </c>
      <c r="AK90" s="224"/>
      <c r="AL90" s="224"/>
      <c r="AM90" s="239"/>
      <c r="AN90" s="239"/>
      <c r="AO90" s="239"/>
      <c r="AP90" s="239"/>
      <c r="AQ90" s="239"/>
    </row>
    <row r="91" spans="1:43" ht="9" customHeight="1">
      <c r="A91" s="224"/>
      <c r="B91" s="224"/>
      <c r="C91" s="224"/>
      <c r="D91" s="224"/>
      <c r="E91" s="224"/>
      <c r="F91" s="224"/>
      <c r="G91" s="224"/>
      <c r="H91" s="224"/>
      <c r="I91" s="224"/>
      <c r="J91" s="224"/>
      <c r="K91" s="224"/>
      <c r="L91" s="224"/>
      <c r="M91" s="224"/>
      <c r="N91" s="224"/>
      <c r="O91" s="224"/>
      <c r="P91" s="224"/>
      <c r="Q91" s="225"/>
      <c r="R91" s="277"/>
      <c r="S91" s="224"/>
      <c r="T91" s="242"/>
      <c r="U91" s="224"/>
      <c r="V91" s="224"/>
      <c r="W91" s="224"/>
      <c r="X91" s="224"/>
      <c r="Y91" s="224"/>
      <c r="Z91" s="224"/>
      <c r="AB91" s="444"/>
      <c r="AC91" s="224"/>
      <c r="AD91" s="278"/>
      <c r="AE91" s="278"/>
      <c r="AF91" s="224"/>
      <c r="AH91" s="224"/>
      <c r="AI91" s="278"/>
      <c r="AJ91" s="278"/>
      <c r="AK91" s="278"/>
      <c r="AL91" s="224"/>
      <c r="AM91" s="239"/>
      <c r="AN91" s="239"/>
      <c r="AO91" s="239"/>
      <c r="AP91" s="239"/>
      <c r="AQ91" s="239"/>
    </row>
    <row r="92" spans="1:43">
      <c r="A92" s="224"/>
      <c r="B92" s="224"/>
      <c r="C92" s="279" t="s">
        <v>0</v>
      </c>
      <c r="D92" s="224"/>
      <c r="E92" s="224"/>
      <c r="F92" s="224"/>
      <c r="G92" s="224" t="s">
        <v>136</v>
      </c>
      <c r="H92" s="224"/>
      <c r="I92" s="224"/>
      <c r="J92" s="224"/>
      <c r="K92" s="224"/>
      <c r="L92" s="230"/>
      <c r="M92" s="230"/>
      <c r="N92" s="230"/>
      <c r="O92" s="230"/>
      <c r="P92" s="224"/>
      <c r="Q92" s="274"/>
      <c r="R92" s="467">
        <f>VLOOKUP($M$90,Producten!$H$7:$AA$1007,6,FALSE)</f>
        <v>21.85</v>
      </c>
      <c r="S92" s="467"/>
      <c r="T92" s="467"/>
      <c r="U92" s="224" t="s">
        <v>7</v>
      </c>
      <c r="V92" s="224"/>
      <c r="W92" s="224"/>
      <c r="X92" s="224"/>
      <c r="Y92" s="224"/>
      <c r="Z92" s="224"/>
      <c r="AB92" s="224"/>
      <c r="AC92" s="224" t="s">
        <v>197</v>
      </c>
      <c r="AD92" s="280">
        <f>R36/365</f>
        <v>2.7397260273972601</v>
      </c>
      <c r="AE92" s="224" t="s">
        <v>7</v>
      </c>
      <c r="AF92" s="224"/>
      <c r="AG92" s="228"/>
      <c r="AH92" s="224"/>
      <c r="AI92" s="224" t="s">
        <v>198</v>
      </c>
      <c r="AJ92" s="249">
        <v>0.04</v>
      </c>
      <c r="AK92" s="224"/>
      <c r="AL92" s="224"/>
      <c r="AM92" s="239"/>
      <c r="AN92" s="239"/>
      <c r="AO92" s="239"/>
      <c r="AP92" s="239"/>
      <c r="AQ92" s="239"/>
    </row>
    <row r="93" spans="1:43" ht="9" customHeight="1">
      <c r="A93" s="224"/>
      <c r="B93" s="224"/>
      <c r="C93" s="224"/>
      <c r="D93" s="224"/>
      <c r="E93" s="224"/>
      <c r="F93" s="224"/>
      <c r="G93" s="224"/>
      <c r="H93" s="224"/>
      <c r="I93" s="224"/>
      <c r="J93" s="224"/>
      <c r="K93" s="224"/>
      <c r="L93" s="224"/>
      <c r="M93" s="224"/>
      <c r="N93" s="224"/>
      <c r="O93" s="224"/>
      <c r="P93" s="224"/>
      <c r="Q93" s="225" t="s">
        <v>68</v>
      </c>
      <c r="R93" s="277"/>
      <c r="S93" s="224"/>
      <c r="T93" s="242"/>
      <c r="U93" s="230"/>
      <c r="V93" s="224"/>
      <c r="W93" s="224"/>
      <c r="X93" s="224"/>
      <c r="Y93" s="224"/>
      <c r="Z93" s="224"/>
      <c r="AB93" s="224"/>
      <c r="AC93" s="224"/>
      <c r="AD93" s="224"/>
      <c r="AE93" s="224"/>
      <c r="AF93" s="224"/>
      <c r="AG93" s="228"/>
      <c r="AH93" s="224"/>
      <c r="AI93" s="224"/>
      <c r="AJ93" s="224"/>
      <c r="AK93" s="224"/>
      <c r="AL93" s="224"/>
      <c r="AM93" s="239"/>
      <c r="AN93" s="239"/>
      <c r="AO93" s="239"/>
      <c r="AP93" s="239"/>
      <c r="AQ93" s="239"/>
    </row>
    <row r="94" spans="1:43">
      <c r="A94" s="224"/>
      <c r="B94" s="224"/>
      <c r="C94" s="279" t="s">
        <v>188</v>
      </c>
      <c r="D94" s="224"/>
      <c r="E94" s="224"/>
      <c r="F94" s="224"/>
      <c r="G94" s="224" t="s">
        <v>189</v>
      </c>
      <c r="H94" s="224"/>
      <c r="I94" s="224"/>
      <c r="J94" s="224"/>
      <c r="K94" s="224"/>
      <c r="L94" s="230"/>
      <c r="M94" s="230"/>
      <c r="N94" s="230"/>
      <c r="O94" s="230"/>
      <c r="P94" s="224"/>
      <c r="Q94" s="274"/>
      <c r="R94" s="442">
        <f>VLOOKUP($M$90,Producten!$H$7:$AA$1007,8,FALSE)</f>
        <v>0.96</v>
      </c>
      <c r="S94" s="442"/>
      <c r="T94" s="442"/>
      <c r="U94" s="224"/>
      <c r="V94" s="224"/>
      <c r="W94" s="224"/>
      <c r="X94" s="224"/>
      <c r="Y94" s="224"/>
      <c r="Z94" s="224"/>
      <c r="AB94" s="224"/>
      <c r="AC94" s="341" t="s">
        <v>196</v>
      </c>
      <c r="AD94" s="351">
        <f>(AD88*AD90)-AD92</f>
        <v>18.356164383561644</v>
      </c>
      <c r="AE94" s="341" t="s">
        <v>7</v>
      </c>
      <c r="AF94" s="352"/>
      <c r="AG94" s="353"/>
      <c r="AH94" s="352"/>
      <c r="AI94" s="341" t="s">
        <v>196</v>
      </c>
      <c r="AJ94" s="351">
        <f ca="1">(AJ88*AJ90)*(1-AJ92)</f>
        <v>18.936986301369863</v>
      </c>
      <c r="AK94" s="341" t="s">
        <v>7</v>
      </c>
      <c r="AL94" s="224"/>
      <c r="AM94" s="239"/>
      <c r="AN94" s="239"/>
      <c r="AO94" s="239"/>
      <c r="AP94" s="239"/>
      <c r="AQ94" s="239"/>
    </row>
    <row r="95" spans="1:43" ht="9" customHeight="1">
      <c r="A95" s="224"/>
      <c r="B95" s="224"/>
      <c r="C95" s="224"/>
      <c r="D95" s="224"/>
      <c r="E95" s="224"/>
      <c r="F95" s="224"/>
      <c r="G95" s="224"/>
      <c r="H95" s="224"/>
      <c r="I95" s="224"/>
      <c r="J95" s="224"/>
      <c r="K95" s="224"/>
      <c r="L95" s="224"/>
      <c r="M95" s="224"/>
      <c r="N95" s="224"/>
      <c r="O95" s="224"/>
      <c r="P95" s="224"/>
      <c r="Q95" s="225" t="s">
        <v>68</v>
      </c>
      <c r="R95" s="277"/>
      <c r="S95" s="224"/>
      <c r="T95" s="242"/>
      <c r="U95" s="230"/>
      <c r="V95" s="224"/>
      <c r="W95" s="224"/>
      <c r="X95" s="224"/>
      <c r="Y95" s="224"/>
      <c r="Z95" s="224"/>
      <c r="AB95" s="224"/>
      <c r="AC95" s="224"/>
      <c r="AD95" s="226"/>
      <c r="AE95" s="226"/>
      <c r="AF95" s="224"/>
      <c r="AH95" s="224"/>
      <c r="AI95" s="224"/>
      <c r="AJ95" s="226"/>
      <c r="AK95" s="226"/>
      <c r="AL95" s="224"/>
      <c r="AM95" s="239"/>
      <c r="AN95" s="239"/>
      <c r="AO95" s="239"/>
      <c r="AP95" s="239"/>
      <c r="AQ95" s="239"/>
    </row>
    <row r="96" spans="1:43">
      <c r="A96" s="224"/>
      <c r="B96" s="224"/>
      <c r="C96" s="279" t="s">
        <v>10</v>
      </c>
      <c r="D96" s="224"/>
      <c r="E96" s="224"/>
      <c r="F96" s="224"/>
      <c r="G96" s="224" t="s">
        <v>183</v>
      </c>
      <c r="H96" s="224"/>
      <c r="I96" s="224"/>
      <c r="J96" s="224"/>
      <c r="K96" s="224"/>
      <c r="L96" s="230"/>
      <c r="M96" s="230"/>
      <c r="N96" s="230"/>
      <c r="O96" s="230"/>
      <c r="P96" s="224"/>
      <c r="Q96" s="274" t="s">
        <v>437</v>
      </c>
      <c r="R96" s="467">
        <f>VLOOKUP($M$90,Producten!$H$7:$AA$1007,12,FALSE)</f>
        <v>10</v>
      </c>
      <c r="S96" s="467"/>
      <c r="T96" s="467"/>
      <c r="U96" s="224" t="s">
        <v>1</v>
      </c>
      <c r="V96" s="224"/>
      <c r="W96" s="224"/>
      <c r="X96" s="224"/>
      <c r="Y96" s="224"/>
      <c r="Z96" s="224"/>
      <c r="AB96" s="224"/>
      <c r="AC96" s="226"/>
      <c r="AD96" s="226"/>
      <c r="AE96" s="226"/>
      <c r="AF96" s="224"/>
      <c r="AH96" s="224"/>
      <c r="AI96" s="224"/>
      <c r="AJ96" s="226"/>
      <c r="AK96" s="226"/>
      <c r="AL96" s="224"/>
      <c r="AM96" s="239"/>
      <c r="AN96" s="239"/>
      <c r="AO96" s="239"/>
      <c r="AP96" s="239"/>
      <c r="AQ96" s="239"/>
    </row>
    <row r="97" spans="1:43" ht="9" customHeight="1">
      <c r="A97" s="224"/>
      <c r="B97" s="224"/>
      <c r="C97" s="224"/>
      <c r="D97" s="224"/>
      <c r="E97" s="224"/>
      <c r="F97" s="224"/>
      <c r="G97" s="224"/>
      <c r="H97" s="224"/>
      <c r="I97" s="224"/>
      <c r="J97" s="224"/>
      <c r="K97" s="224"/>
      <c r="L97" s="224"/>
      <c r="M97" s="224"/>
      <c r="N97" s="224"/>
      <c r="O97" s="224"/>
      <c r="P97" s="224"/>
      <c r="Q97" s="225" t="s">
        <v>68</v>
      </c>
      <c r="R97" s="277"/>
      <c r="S97" s="224"/>
      <c r="T97" s="242"/>
      <c r="U97" s="230"/>
      <c r="V97" s="224"/>
      <c r="W97" s="226"/>
      <c r="X97" s="226"/>
      <c r="Y97" s="226"/>
      <c r="Z97" s="226"/>
      <c r="AB97" s="224"/>
      <c r="AC97" s="224"/>
      <c r="AD97" s="226"/>
      <c r="AE97" s="226"/>
      <c r="AF97" s="224"/>
      <c r="AH97" s="224"/>
      <c r="AI97" s="224"/>
      <c r="AJ97" s="226"/>
      <c r="AK97" s="226"/>
      <c r="AL97" s="224"/>
      <c r="AM97" s="239"/>
      <c r="AN97" s="239"/>
      <c r="AO97" s="239"/>
      <c r="AP97" s="239"/>
      <c r="AQ97" s="239"/>
    </row>
    <row r="98" spans="1:43">
      <c r="A98" s="224"/>
      <c r="B98" s="224"/>
      <c r="C98" s="279" t="s">
        <v>15</v>
      </c>
      <c r="D98" s="224"/>
      <c r="E98" s="224"/>
      <c r="F98" s="224"/>
      <c r="G98" s="224" t="s">
        <v>181</v>
      </c>
      <c r="H98" s="224"/>
      <c r="I98" s="224"/>
      <c r="J98" s="224"/>
      <c r="K98" s="224"/>
      <c r="L98" s="230"/>
      <c r="M98" s="230"/>
      <c r="N98" s="230"/>
      <c r="O98" s="230"/>
      <c r="P98" s="224"/>
      <c r="Q98" s="274"/>
      <c r="R98" s="467">
        <f>VLOOKUP($M$90,Producten!$H$7:$AA$1007,10,FALSE)</f>
        <v>10000</v>
      </c>
      <c r="S98" s="467"/>
      <c r="T98" s="467"/>
      <c r="U98" s="465">
        <f>VLOOKUP($M$90,Producten!$H$7:$AA$1007,9,FALSE)</f>
        <v>10000</v>
      </c>
      <c r="V98" s="465"/>
      <c r="W98" s="465"/>
      <c r="X98" s="224"/>
      <c r="Y98" s="224"/>
      <c r="Z98" s="224"/>
      <c r="AB98" s="282"/>
      <c r="AC98" s="282"/>
      <c r="AD98" s="283"/>
      <c r="AE98" s="283"/>
      <c r="AF98" s="282"/>
      <c r="AG98" s="284"/>
      <c r="AH98" s="282"/>
      <c r="AI98" s="282"/>
      <c r="AJ98" s="283"/>
      <c r="AK98" s="283"/>
      <c r="AL98" s="282"/>
      <c r="AM98" s="239"/>
      <c r="AN98" s="239"/>
      <c r="AO98" s="239"/>
      <c r="AP98" s="239"/>
      <c r="AQ98" s="239"/>
    </row>
    <row r="99" spans="1:43" ht="9" customHeight="1">
      <c r="A99" s="224"/>
      <c r="B99" s="224"/>
      <c r="C99" s="224"/>
      <c r="D99" s="224"/>
      <c r="E99" s="224"/>
      <c r="F99" s="224"/>
      <c r="G99" s="224"/>
      <c r="H99" s="224"/>
      <c r="I99" s="224"/>
      <c r="J99" s="224"/>
      <c r="K99" s="224"/>
      <c r="L99" s="224"/>
      <c r="M99" s="224"/>
      <c r="N99" s="224"/>
      <c r="O99" s="224"/>
      <c r="P99" s="224"/>
      <c r="Q99" s="225" t="s">
        <v>68</v>
      </c>
      <c r="R99" s="277"/>
      <c r="S99" s="224"/>
      <c r="T99" s="242"/>
      <c r="U99" s="230"/>
      <c r="V99" s="224"/>
      <c r="W99" s="226"/>
      <c r="X99" s="226"/>
      <c r="Y99" s="226"/>
      <c r="Z99" s="226"/>
      <c r="AB99" s="282"/>
      <c r="AC99" s="282"/>
      <c r="AD99" s="283"/>
      <c r="AE99" s="283"/>
      <c r="AF99" s="282"/>
      <c r="AG99" s="284"/>
      <c r="AH99" s="282"/>
      <c r="AI99" s="282"/>
      <c r="AJ99" s="283"/>
      <c r="AK99" s="283"/>
      <c r="AL99" s="282"/>
      <c r="AM99" s="239"/>
      <c r="AN99" s="239"/>
      <c r="AO99" s="239"/>
      <c r="AP99" s="239"/>
      <c r="AQ99" s="239"/>
    </row>
    <row r="100" spans="1:43">
      <c r="A100" s="224"/>
      <c r="B100" s="224"/>
      <c r="C100" s="279" t="s">
        <v>180</v>
      </c>
      <c r="D100" s="224"/>
      <c r="E100" s="224"/>
      <c r="F100" s="224"/>
      <c r="G100" s="224" t="s">
        <v>182</v>
      </c>
      <c r="H100" s="224"/>
      <c r="I100" s="224"/>
      <c r="J100" s="224"/>
      <c r="K100" s="224"/>
      <c r="L100" s="230"/>
      <c r="M100" s="230"/>
      <c r="N100" s="230"/>
      <c r="O100" s="230"/>
      <c r="P100" s="224"/>
      <c r="Q100" s="274"/>
      <c r="R100" s="442">
        <f>VLOOKUP($M$90,Producten!$H$7:$AA$1007,11,FALSE)</f>
        <v>0.7</v>
      </c>
      <c r="S100" s="442"/>
      <c r="T100" s="442"/>
      <c r="U100" s="224"/>
      <c r="V100" s="224"/>
      <c r="W100" s="224"/>
      <c r="X100" s="224"/>
      <c r="Y100" s="224"/>
      <c r="Z100" s="224"/>
      <c r="AB100" s="282"/>
      <c r="AC100" s="282"/>
      <c r="AD100" s="283"/>
      <c r="AE100" s="283"/>
      <c r="AF100" s="282"/>
      <c r="AG100" s="284"/>
      <c r="AH100" s="282"/>
      <c r="AI100" s="282"/>
      <c r="AJ100" s="283"/>
      <c r="AK100" s="283"/>
      <c r="AL100" s="282"/>
      <c r="AM100" s="239"/>
      <c r="AN100" s="239"/>
      <c r="AO100" s="239"/>
      <c r="AP100" s="239"/>
      <c r="AQ100" s="239"/>
    </row>
    <row r="101" spans="1:43" ht="9" customHeight="1">
      <c r="A101" s="224"/>
      <c r="B101" s="224"/>
      <c r="C101" s="224"/>
      <c r="D101" s="224"/>
      <c r="E101" s="224"/>
      <c r="F101" s="224"/>
      <c r="G101" s="224"/>
      <c r="H101" s="224"/>
      <c r="I101" s="224"/>
      <c r="J101" s="224"/>
      <c r="K101" s="224"/>
      <c r="L101" s="224"/>
      <c r="M101" s="224"/>
      <c r="N101" s="224"/>
      <c r="O101" s="224"/>
      <c r="P101" s="224"/>
      <c r="Q101" s="225" t="s">
        <v>68</v>
      </c>
      <c r="R101" s="277"/>
      <c r="S101" s="224"/>
      <c r="T101" s="242"/>
      <c r="U101" s="230"/>
      <c r="V101" s="224"/>
      <c r="W101" s="226"/>
      <c r="X101" s="226"/>
      <c r="Y101" s="226"/>
      <c r="Z101" s="226"/>
      <c r="AA101" s="239"/>
      <c r="AB101" s="282"/>
      <c r="AC101" s="282"/>
      <c r="AD101" s="283"/>
      <c r="AE101" s="283"/>
      <c r="AF101" s="282"/>
      <c r="AG101" s="284"/>
      <c r="AH101" s="282"/>
      <c r="AI101" s="282"/>
      <c r="AJ101" s="283"/>
      <c r="AK101" s="283"/>
      <c r="AL101" s="282"/>
      <c r="AM101" s="239"/>
      <c r="AN101" s="239"/>
      <c r="AO101" s="239"/>
      <c r="AP101" s="239"/>
      <c r="AQ101" s="239"/>
    </row>
    <row r="102" spans="1:43">
      <c r="A102" s="224"/>
      <c r="B102" s="224"/>
      <c r="C102" s="279" t="s">
        <v>39</v>
      </c>
      <c r="D102" s="224"/>
      <c r="E102" s="224"/>
      <c r="F102" s="224"/>
      <c r="G102" s="224" t="s">
        <v>127</v>
      </c>
      <c r="H102" s="224"/>
      <c r="I102" s="224"/>
      <c r="J102" s="224"/>
      <c r="K102" s="224"/>
      <c r="L102" s="230"/>
      <c r="M102" s="230"/>
      <c r="N102" s="230"/>
      <c r="O102" s="230"/>
      <c r="P102" s="224"/>
      <c r="Q102" s="274"/>
      <c r="R102" s="467">
        <f>IF(Q88=Productselectie!B26,20,VLOOKUP($M$90,Producten!$H$7:$AA$1007,13,FALSE))</f>
        <v>10</v>
      </c>
      <c r="S102" s="467"/>
      <c r="T102" s="467"/>
      <c r="U102" s="431" t="s">
        <v>551</v>
      </c>
      <c r="V102" s="431"/>
      <c r="W102" s="431"/>
      <c r="X102" s="224"/>
      <c r="Y102" s="224"/>
      <c r="Z102" s="224"/>
      <c r="AB102" s="282"/>
      <c r="AC102" s="282"/>
      <c r="AD102" s="283"/>
      <c r="AE102" s="283"/>
      <c r="AF102" s="282"/>
      <c r="AG102" s="284"/>
      <c r="AH102" s="282"/>
      <c r="AI102" s="282"/>
      <c r="AJ102" s="283"/>
      <c r="AK102" s="283"/>
      <c r="AL102" s="282"/>
      <c r="AM102" s="239"/>
      <c r="AN102" s="239"/>
      <c r="AO102" s="239"/>
      <c r="AP102" s="239"/>
      <c r="AQ102" s="239"/>
    </row>
    <row r="103" spans="1:43" ht="9" customHeight="1">
      <c r="A103" s="224"/>
      <c r="B103" s="224"/>
      <c r="C103" s="224"/>
      <c r="D103" s="224"/>
      <c r="E103" s="224"/>
      <c r="F103" s="224"/>
      <c r="G103" s="224"/>
      <c r="H103" s="224"/>
      <c r="I103" s="224"/>
      <c r="J103" s="224"/>
      <c r="K103" s="224"/>
      <c r="L103" s="224"/>
      <c r="M103" s="224"/>
      <c r="N103" s="224"/>
      <c r="O103" s="224"/>
      <c r="P103" s="224"/>
      <c r="Q103" s="225"/>
      <c r="R103" s="277"/>
      <c r="S103" s="224"/>
      <c r="T103" s="242"/>
      <c r="U103" s="230"/>
      <c r="V103" s="224"/>
      <c r="W103" s="226"/>
      <c r="X103" s="226"/>
      <c r="Y103" s="226"/>
      <c r="Z103" s="226"/>
      <c r="AA103" s="239"/>
      <c r="AB103" s="282"/>
      <c r="AC103" s="282"/>
      <c r="AD103" s="283"/>
      <c r="AE103" s="283"/>
      <c r="AF103" s="282"/>
      <c r="AG103" s="284"/>
      <c r="AH103" s="282"/>
      <c r="AI103" s="282"/>
      <c r="AJ103" s="283"/>
      <c r="AK103" s="283"/>
      <c r="AL103" s="282"/>
      <c r="AM103" s="239"/>
      <c r="AN103" s="239"/>
      <c r="AO103" s="239"/>
      <c r="AP103" s="239"/>
      <c r="AQ103" s="239"/>
    </row>
    <row r="104" spans="1:43" ht="16" customHeight="1">
      <c r="A104" s="224"/>
      <c r="B104" s="224"/>
      <c r="C104" s="237" t="s">
        <v>446</v>
      </c>
      <c r="D104" s="224"/>
      <c r="E104" s="224"/>
      <c r="F104" s="224"/>
      <c r="G104" s="224" t="s">
        <v>450</v>
      </c>
      <c r="H104" s="224"/>
      <c r="I104" s="224"/>
      <c r="J104" s="224"/>
      <c r="K104" s="224"/>
      <c r="L104" s="224"/>
      <c r="M104" s="224"/>
      <c r="N104" s="224"/>
      <c r="O104" s="224"/>
      <c r="P104" s="224"/>
      <c r="Q104" s="225"/>
      <c r="R104" s="467" t="str">
        <f>VLOOKUP($M$90,Producten!$H$7:$AA$1007,20,FALSE)</f>
        <v>Basis</v>
      </c>
      <c r="S104" s="467"/>
      <c r="T104" s="467"/>
      <c r="U104" s="431"/>
      <c r="V104" s="431"/>
      <c r="W104" s="226"/>
      <c r="X104" s="226"/>
      <c r="Y104" s="226"/>
      <c r="Z104" s="226"/>
      <c r="AA104" s="228"/>
      <c r="AB104" s="283"/>
      <c r="AC104" s="283"/>
      <c r="AD104" s="285"/>
      <c r="AE104" s="283"/>
      <c r="AF104" s="283"/>
      <c r="AG104" s="284"/>
      <c r="AH104" s="283"/>
      <c r="AI104" s="282"/>
      <c r="AJ104" s="282"/>
      <c r="AK104" s="282"/>
      <c r="AL104" s="282"/>
      <c r="AN104" s="239"/>
      <c r="AO104" s="239"/>
      <c r="AP104" s="239"/>
      <c r="AQ104" s="239"/>
    </row>
    <row r="105" spans="1:43" ht="9" customHeight="1">
      <c r="A105" s="224"/>
      <c r="B105" s="224"/>
      <c r="C105" s="224"/>
      <c r="D105" s="224"/>
      <c r="E105" s="224"/>
      <c r="F105" s="224"/>
      <c r="G105" s="224"/>
      <c r="H105" s="224"/>
      <c r="I105" s="224"/>
      <c r="J105" s="224"/>
      <c r="K105" s="224"/>
      <c r="L105" s="224"/>
      <c r="M105" s="230"/>
      <c r="N105" s="230"/>
      <c r="O105" s="230"/>
      <c r="P105" s="230"/>
      <c r="Q105" s="230"/>
      <c r="R105" s="230"/>
      <c r="S105" s="230"/>
      <c r="T105" s="225"/>
      <c r="U105" s="225"/>
      <c r="V105" s="226"/>
      <c r="W105" s="226"/>
      <c r="X105" s="226"/>
      <c r="Y105" s="226"/>
      <c r="Z105" s="226"/>
      <c r="AA105" s="228"/>
      <c r="AB105" s="239"/>
      <c r="AF105" s="239"/>
      <c r="AH105" s="239"/>
      <c r="AN105" s="239"/>
      <c r="AO105" s="239"/>
      <c r="AP105" s="239"/>
      <c r="AQ105" s="239"/>
    </row>
    <row r="106" spans="1:43" ht="41" customHeight="1">
      <c r="A106" s="224"/>
      <c r="B106" s="224"/>
      <c r="C106" s="237"/>
      <c r="D106" s="224"/>
      <c r="E106" s="224"/>
      <c r="F106" s="224"/>
      <c r="G106" s="224"/>
      <c r="H106" s="224"/>
      <c r="I106" s="224"/>
      <c r="J106" s="224"/>
      <c r="K106" s="224"/>
      <c r="L106" s="224"/>
      <c r="M106" s="224"/>
      <c r="N106" s="230"/>
      <c r="O106" s="224"/>
      <c r="P106" s="224"/>
      <c r="Q106" s="225"/>
      <c r="R106" s="225"/>
      <c r="S106" s="225"/>
      <c r="T106" s="225"/>
      <c r="U106" s="225"/>
      <c r="V106" s="226"/>
      <c r="W106" s="226"/>
      <c r="X106" s="226"/>
      <c r="Y106" s="226"/>
      <c r="Z106" s="226"/>
      <c r="AB106" s="239"/>
      <c r="AC106" s="239"/>
      <c r="AD106" s="239"/>
      <c r="AE106" s="239"/>
      <c r="AF106" s="239"/>
      <c r="AH106" s="239"/>
    </row>
    <row r="107" spans="1:43" ht="28">
      <c r="A107" s="224"/>
      <c r="B107" s="224"/>
      <c r="C107" s="235" t="s">
        <v>128</v>
      </c>
      <c r="D107" s="224"/>
      <c r="E107" s="224"/>
      <c r="F107" s="224"/>
      <c r="G107" s="224"/>
      <c r="H107" s="224"/>
      <c r="I107" s="224"/>
      <c r="J107" s="224"/>
      <c r="K107" s="224"/>
      <c r="L107" s="224"/>
      <c r="M107" s="224"/>
      <c r="N107" s="230"/>
      <c r="O107" s="224"/>
      <c r="P107" s="224"/>
      <c r="Q107" s="225"/>
      <c r="R107" s="225"/>
      <c r="S107" s="225"/>
      <c r="T107" s="225"/>
      <c r="U107" s="225"/>
      <c r="V107" s="226"/>
      <c r="W107" s="226"/>
      <c r="X107" s="226"/>
      <c r="Y107" s="226"/>
      <c r="Z107" s="226"/>
      <c r="AB107" s="228"/>
      <c r="AD107" s="228"/>
      <c r="AE107" s="228"/>
      <c r="AF107" s="228"/>
      <c r="AG107" s="228"/>
      <c r="AH107" s="228"/>
    </row>
    <row r="108" spans="1:43">
      <c r="A108" s="224"/>
      <c r="B108" s="224"/>
      <c r="C108" s="276" t="s">
        <v>125</v>
      </c>
      <c r="D108" s="224"/>
      <c r="E108" s="224"/>
      <c r="F108" s="224"/>
      <c r="G108" s="224"/>
      <c r="H108" s="224"/>
      <c r="I108" s="224"/>
      <c r="J108" s="224"/>
      <c r="K108" s="224"/>
      <c r="L108" s="230"/>
      <c r="M108" s="230"/>
      <c r="N108" s="230"/>
      <c r="O108" s="230"/>
      <c r="P108" s="224"/>
      <c r="Q108" s="274"/>
      <c r="R108" s="274"/>
      <c r="S108" s="274"/>
      <c r="T108" s="274"/>
      <c r="U108" s="274"/>
      <c r="V108" s="224"/>
      <c r="W108" s="224"/>
      <c r="X108" s="224"/>
      <c r="Y108" s="224"/>
      <c r="Z108" s="224"/>
      <c r="AA108" s="228"/>
      <c r="AB108" s="228"/>
      <c r="AD108" s="228"/>
      <c r="AE108" s="228"/>
      <c r="AF108" s="228"/>
      <c r="AG108" s="228"/>
      <c r="AH108" s="228"/>
    </row>
    <row r="109" spans="1:43">
      <c r="A109" s="224"/>
      <c r="B109" s="224"/>
      <c r="C109" s="276"/>
      <c r="D109" s="224"/>
      <c r="E109" s="224"/>
      <c r="F109" s="224"/>
      <c r="G109" s="224"/>
      <c r="H109" s="224"/>
      <c r="I109" s="224"/>
      <c r="J109" s="224"/>
      <c r="K109" s="224"/>
      <c r="L109" s="230"/>
      <c r="M109" s="230"/>
      <c r="N109" s="230"/>
      <c r="O109" s="230"/>
      <c r="P109" s="224"/>
      <c r="Q109" s="274"/>
      <c r="R109" s="274"/>
      <c r="S109" s="274"/>
      <c r="T109" s="274"/>
      <c r="U109" s="274"/>
      <c r="V109" s="224"/>
      <c r="W109" s="224"/>
      <c r="X109" s="224"/>
      <c r="Y109" s="224"/>
      <c r="Z109" s="224"/>
      <c r="AA109" s="228"/>
      <c r="AB109" s="228"/>
      <c r="AD109" s="228"/>
      <c r="AE109" s="228"/>
      <c r="AF109" s="228"/>
      <c r="AG109" s="228"/>
      <c r="AH109" s="228"/>
    </row>
    <row r="110" spans="1:43" s="292" customFormat="1" ht="16" customHeight="1">
      <c r="A110" s="286"/>
      <c r="B110" s="286"/>
      <c r="C110" s="287" t="s">
        <v>418</v>
      </c>
      <c r="D110" s="286"/>
      <c r="E110" s="286"/>
      <c r="F110" s="286"/>
      <c r="G110" s="288" t="s">
        <v>419</v>
      </c>
      <c r="H110" s="286"/>
      <c r="I110" s="286"/>
      <c r="J110" s="286"/>
      <c r="K110" s="286"/>
      <c r="L110" s="286"/>
      <c r="M110" s="286"/>
      <c r="N110" s="286"/>
      <c r="O110" s="286"/>
      <c r="P110" s="286"/>
      <c r="Q110" s="289"/>
      <c r="R110" s="451">
        <v>45992</v>
      </c>
      <c r="S110" s="464"/>
      <c r="T110" s="464"/>
      <c r="U110" s="431" t="str">
        <f>IF(ISNUMBER(R110),"","dit is geen geldige datum")</f>
        <v/>
      </c>
      <c r="V110" s="431"/>
      <c r="W110" s="452"/>
      <c r="X110" s="452"/>
      <c r="Y110" s="286"/>
      <c r="Z110" s="286"/>
      <c r="AA110" s="290"/>
      <c r="AB110" s="227"/>
      <c r="AC110" s="228"/>
      <c r="AD110" s="227"/>
      <c r="AE110" s="227"/>
      <c r="AF110" s="227"/>
      <c r="AG110" s="227"/>
      <c r="AH110" s="228"/>
      <c r="AI110" s="228"/>
      <c r="AJ110" s="228"/>
      <c r="AK110" s="228"/>
      <c r="AL110" s="228"/>
      <c r="AM110" s="291"/>
    </row>
    <row r="111" spans="1:43" ht="9" customHeight="1">
      <c r="A111" s="224"/>
      <c r="B111" s="224"/>
      <c r="C111" s="224"/>
      <c r="D111" s="224"/>
      <c r="E111" s="224"/>
      <c r="F111" s="224"/>
      <c r="G111" s="224"/>
      <c r="H111" s="224"/>
      <c r="I111" s="224"/>
      <c r="J111" s="224"/>
      <c r="K111" s="224"/>
      <c r="L111" s="224"/>
      <c r="M111" s="224"/>
      <c r="N111" s="224"/>
      <c r="O111" s="224"/>
      <c r="P111" s="224"/>
      <c r="Q111" s="225"/>
      <c r="R111" s="225"/>
      <c r="S111" s="224"/>
      <c r="T111" s="224"/>
      <c r="U111" s="233"/>
      <c r="V111" s="233"/>
      <c r="W111" s="226"/>
      <c r="X111" s="226"/>
      <c r="Y111" s="226"/>
      <c r="Z111" s="226"/>
      <c r="AA111" s="290"/>
      <c r="AB111" s="290"/>
      <c r="AC111" s="290"/>
      <c r="AD111" s="290"/>
      <c r="AE111" s="293"/>
    </row>
    <row r="112" spans="1:43" ht="16" customHeight="1">
      <c r="A112" s="224"/>
      <c r="B112" s="224"/>
      <c r="C112" s="237" t="s">
        <v>346</v>
      </c>
      <c r="D112" s="224"/>
      <c r="E112" s="224"/>
      <c r="F112" s="224"/>
      <c r="G112" s="224" t="s">
        <v>453</v>
      </c>
      <c r="H112" s="224"/>
      <c r="I112" s="224"/>
      <c r="J112" s="224"/>
      <c r="K112" s="224"/>
      <c r="L112" s="224"/>
      <c r="M112" s="224"/>
      <c r="N112" s="224"/>
      <c r="O112" s="224"/>
      <c r="P112" s="224"/>
      <c r="Q112" s="225"/>
      <c r="R112" s="434" t="s">
        <v>347</v>
      </c>
      <c r="S112" s="434"/>
      <c r="T112" s="434"/>
      <c r="U112" s="233"/>
      <c r="V112" s="233"/>
      <c r="W112" s="243"/>
      <c r="X112" s="243"/>
      <c r="Y112" s="226"/>
      <c r="Z112" s="243"/>
      <c r="AA112" s="290"/>
      <c r="AB112" s="290"/>
      <c r="AC112" s="290"/>
      <c r="AD112" s="290"/>
      <c r="AE112" s="293"/>
      <c r="AH112" s="239"/>
      <c r="AI112" s="239"/>
      <c r="AM112" s="239"/>
    </row>
    <row r="113" spans="1:39" ht="9" customHeight="1">
      <c r="A113" s="224"/>
      <c r="B113" s="224"/>
      <c r="C113" s="224"/>
      <c r="D113" s="224"/>
      <c r="E113" s="224"/>
      <c r="F113" s="224"/>
      <c r="G113" s="224"/>
      <c r="H113" s="224"/>
      <c r="I113" s="224"/>
      <c r="J113" s="224"/>
      <c r="K113" s="224"/>
      <c r="L113" s="224"/>
      <c r="M113" s="224"/>
      <c r="N113" s="224"/>
      <c r="O113" s="224"/>
      <c r="P113" s="224"/>
      <c r="Q113" s="225"/>
      <c r="R113" s="225"/>
      <c r="S113" s="224"/>
      <c r="T113" s="224"/>
      <c r="U113" s="233"/>
      <c r="V113" s="233"/>
      <c r="W113" s="226"/>
      <c r="X113" s="226"/>
      <c r="Y113" s="226"/>
      <c r="Z113" s="226"/>
      <c r="AA113" s="290"/>
      <c r="AB113" s="290"/>
      <c r="AC113" s="290"/>
      <c r="AD113" s="290"/>
      <c r="AE113" s="293"/>
    </row>
    <row r="114" spans="1:39">
      <c r="A114" s="224"/>
      <c r="B114" s="224"/>
      <c r="C114" s="237" t="s">
        <v>458</v>
      </c>
      <c r="D114" s="224"/>
      <c r="E114" s="224"/>
      <c r="F114" s="224"/>
      <c r="G114" s="224" t="s">
        <v>456</v>
      </c>
      <c r="H114" s="224"/>
      <c r="I114" s="224"/>
      <c r="J114" s="224"/>
      <c r="K114" s="224"/>
      <c r="L114" s="224"/>
      <c r="M114" s="224"/>
      <c r="N114" s="224"/>
      <c r="O114" s="224"/>
      <c r="P114" s="434" t="s">
        <v>425</v>
      </c>
      <c r="Q114" s="434"/>
      <c r="R114" s="434"/>
      <c r="S114" s="434"/>
      <c r="T114" s="434"/>
      <c r="U114" s="294">
        <f>Keuzemenu!R31</f>
        <v>1.5</v>
      </c>
      <c r="V114" s="431" t="s">
        <v>409</v>
      </c>
      <c r="W114" s="431"/>
      <c r="X114" s="431"/>
      <c r="Y114" s="226"/>
      <c r="Z114" s="226"/>
      <c r="AA114" s="290"/>
      <c r="AB114" s="290"/>
      <c r="AC114" s="290"/>
      <c r="AD114" s="290"/>
      <c r="AE114" s="293"/>
    </row>
    <row r="115" spans="1:39" ht="9" customHeight="1">
      <c r="A115" s="224"/>
      <c r="B115" s="224"/>
      <c r="C115" s="224"/>
      <c r="D115" s="224"/>
      <c r="E115" s="224"/>
      <c r="F115" s="224"/>
      <c r="G115" s="224"/>
      <c r="H115" s="224"/>
      <c r="I115" s="224"/>
      <c r="J115" s="224"/>
      <c r="K115" s="224"/>
      <c r="L115" s="224"/>
      <c r="M115" s="224"/>
      <c r="N115" s="224"/>
      <c r="O115" s="224"/>
      <c r="P115" s="224"/>
      <c r="Q115" s="225"/>
      <c r="R115" s="225"/>
      <c r="S115" s="224"/>
      <c r="T115" s="224"/>
      <c r="U115" s="233"/>
      <c r="V115" s="233"/>
      <c r="W115" s="226"/>
      <c r="X115" s="226"/>
      <c r="Y115" s="226"/>
      <c r="Z115" s="226"/>
      <c r="AA115" s="290"/>
      <c r="AB115" s="290"/>
      <c r="AC115" s="290"/>
      <c r="AD115" s="290"/>
      <c r="AE115" s="293"/>
    </row>
    <row r="116" spans="1:39">
      <c r="A116" s="224"/>
      <c r="B116" s="224"/>
      <c r="C116" s="237" t="s">
        <v>459</v>
      </c>
      <c r="D116" s="224"/>
      <c r="E116" s="224"/>
      <c r="F116" s="224"/>
      <c r="G116" s="224" t="s">
        <v>462</v>
      </c>
      <c r="H116" s="224"/>
      <c r="I116" s="224"/>
      <c r="J116" s="224"/>
      <c r="K116" s="224"/>
      <c r="L116" s="224"/>
      <c r="M116" s="224"/>
      <c r="N116" s="224"/>
      <c r="O116" s="224"/>
      <c r="P116" s="434" t="s">
        <v>425</v>
      </c>
      <c r="Q116" s="434"/>
      <c r="R116" s="434"/>
      <c r="S116" s="434"/>
      <c r="T116" s="434"/>
      <c r="U116" s="294">
        <f>Keuzemenu!T31</f>
        <v>1.5</v>
      </c>
      <c r="V116" s="431" t="s">
        <v>409</v>
      </c>
      <c r="W116" s="431"/>
      <c r="X116" s="431"/>
      <c r="Y116" s="226"/>
      <c r="Z116" s="226"/>
      <c r="AA116" s="290"/>
      <c r="AB116" s="290"/>
      <c r="AC116" s="290"/>
      <c r="AD116" s="290"/>
      <c r="AE116" s="293"/>
    </row>
    <row r="117" spans="1:39" ht="9" customHeight="1">
      <c r="A117" s="224"/>
      <c r="B117" s="224"/>
      <c r="C117" s="224"/>
      <c r="D117" s="224"/>
      <c r="E117" s="224"/>
      <c r="F117" s="224"/>
      <c r="G117" s="224"/>
      <c r="H117" s="224"/>
      <c r="I117" s="224"/>
      <c r="J117" s="224"/>
      <c r="K117" s="224"/>
      <c r="L117" s="224"/>
      <c r="M117" s="224"/>
      <c r="N117" s="224"/>
      <c r="O117" s="224"/>
      <c r="P117" s="224"/>
      <c r="Q117" s="225"/>
      <c r="R117" s="225"/>
      <c r="S117" s="224"/>
      <c r="T117" s="224"/>
      <c r="U117" s="233"/>
      <c r="V117" s="233"/>
      <c r="W117" s="226"/>
      <c r="X117" s="226"/>
      <c r="Y117" s="226"/>
      <c r="Z117" s="226"/>
      <c r="AA117" s="290"/>
      <c r="AB117" s="290"/>
      <c r="AC117" s="290"/>
      <c r="AD117" s="290"/>
      <c r="AE117" s="293"/>
    </row>
    <row r="118" spans="1:39" s="292" customFormat="1" ht="16" customHeight="1">
      <c r="A118" s="286"/>
      <c r="B118" s="286"/>
      <c r="C118" s="287" t="s">
        <v>460</v>
      </c>
      <c r="D118" s="286"/>
      <c r="E118" s="286"/>
      <c r="F118" s="286"/>
      <c r="G118" s="288" t="s">
        <v>461</v>
      </c>
      <c r="H118" s="286"/>
      <c r="I118" s="286"/>
      <c r="J118" s="286"/>
      <c r="K118" s="286"/>
      <c r="L118" s="286"/>
      <c r="M118" s="286"/>
      <c r="N118" s="286"/>
      <c r="O118" s="286"/>
      <c r="P118" s="286"/>
      <c r="Q118" s="289"/>
      <c r="R118" s="475">
        <v>2030</v>
      </c>
      <c r="S118" s="476"/>
      <c r="T118" s="476"/>
      <c r="U118" s="295"/>
      <c r="V118" s="295"/>
      <c r="W118" s="286"/>
      <c r="X118" s="286"/>
      <c r="Y118" s="286"/>
      <c r="Z118" s="286"/>
      <c r="AA118" s="290"/>
      <c r="AB118" s="290"/>
      <c r="AC118" s="290"/>
      <c r="AD118" s="290"/>
      <c r="AE118" s="293"/>
      <c r="AF118" s="293"/>
      <c r="AG118" s="293"/>
      <c r="AH118" s="291"/>
      <c r="AI118" s="291"/>
      <c r="AM118" s="291"/>
    </row>
    <row r="119" spans="1:39" ht="41" customHeight="1">
      <c r="A119" s="224"/>
      <c r="B119" s="224"/>
      <c r="C119" s="224"/>
      <c r="D119" s="224"/>
      <c r="E119" s="224"/>
      <c r="F119" s="224"/>
      <c r="G119" s="224"/>
      <c r="H119" s="224"/>
      <c r="I119" s="224"/>
      <c r="J119" s="224"/>
      <c r="K119" s="224"/>
      <c r="L119" s="224"/>
      <c r="M119" s="230"/>
      <c r="N119" s="230"/>
      <c r="O119" s="230"/>
      <c r="P119" s="230"/>
      <c r="Q119" s="230"/>
      <c r="R119" s="230"/>
      <c r="S119" s="230"/>
      <c r="T119" s="225"/>
      <c r="U119" s="225"/>
      <c r="V119" s="226"/>
      <c r="W119" s="226"/>
      <c r="X119" s="226"/>
      <c r="Y119" s="226"/>
      <c r="Z119" s="226"/>
      <c r="AA119" s="290"/>
      <c r="AB119" s="290"/>
      <c r="AC119" s="290"/>
      <c r="AD119" s="290"/>
      <c r="AE119" s="293"/>
    </row>
    <row r="120" spans="1:39" ht="28">
      <c r="A120" s="224"/>
      <c r="B120" s="224"/>
      <c r="C120" s="235" t="s">
        <v>61</v>
      </c>
      <c r="D120" s="224"/>
      <c r="E120" s="224"/>
      <c r="F120" s="224"/>
      <c r="G120" s="224"/>
      <c r="H120" s="224"/>
      <c r="I120" s="224"/>
      <c r="J120" s="224"/>
      <c r="K120" s="224"/>
      <c r="L120" s="224"/>
      <c r="M120" s="224"/>
      <c r="N120" s="230"/>
      <c r="O120" s="224"/>
      <c r="P120" s="224"/>
      <c r="Q120" s="225"/>
      <c r="R120" s="225"/>
      <c r="S120" s="225"/>
      <c r="T120" s="225"/>
      <c r="U120" s="225"/>
      <c r="V120" s="226"/>
      <c r="W120" s="226"/>
      <c r="X120" s="226"/>
      <c r="Y120" s="226"/>
      <c r="Z120" s="226"/>
      <c r="AA120" s="290"/>
      <c r="AB120" s="290"/>
      <c r="AC120" s="290"/>
      <c r="AD120" s="290"/>
      <c r="AE120" s="293"/>
    </row>
    <row r="121" spans="1:39">
      <c r="A121" s="224"/>
      <c r="B121" s="224"/>
      <c r="C121" s="276" t="s">
        <v>90</v>
      </c>
      <c r="D121" s="224"/>
      <c r="E121" s="224"/>
      <c r="F121" s="224"/>
      <c r="G121" s="224"/>
      <c r="H121" s="224"/>
      <c r="I121" s="224"/>
      <c r="J121" s="224"/>
      <c r="K121" s="224"/>
      <c r="L121" s="230"/>
      <c r="M121" s="230"/>
      <c r="N121" s="230"/>
      <c r="O121" s="230"/>
      <c r="P121" s="224"/>
      <c r="Q121" s="225"/>
      <c r="R121" s="225"/>
      <c r="S121" s="225"/>
      <c r="T121" s="225"/>
      <c r="U121" s="225"/>
      <c r="V121" s="226"/>
      <c r="W121" s="226"/>
      <c r="X121" s="226"/>
      <c r="Y121" s="226"/>
      <c r="Z121" s="226"/>
      <c r="AA121" s="290"/>
      <c r="AB121" s="290"/>
      <c r="AC121" s="290"/>
      <c r="AD121" s="290"/>
      <c r="AE121" s="293"/>
    </row>
    <row r="122" spans="1:39" ht="41" customHeight="1">
      <c r="A122" s="224"/>
      <c r="B122" s="224"/>
      <c r="C122" s="224"/>
      <c r="D122" s="224"/>
      <c r="E122" s="224"/>
      <c r="F122" s="224"/>
      <c r="G122" s="224"/>
      <c r="H122" s="224"/>
      <c r="I122" s="224"/>
      <c r="J122" s="224"/>
      <c r="K122" s="224"/>
      <c r="L122" s="224"/>
      <c r="M122" s="230"/>
      <c r="N122" s="230"/>
      <c r="O122" s="230"/>
      <c r="P122" s="230"/>
      <c r="Q122" s="230"/>
      <c r="R122" s="230"/>
      <c r="S122" s="230"/>
      <c r="T122" s="225"/>
      <c r="U122" s="225"/>
      <c r="V122" s="226"/>
      <c r="W122" s="226"/>
      <c r="X122" s="226"/>
      <c r="Y122" s="226"/>
      <c r="Z122" s="226"/>
      <c r="AA122" s="290"/>
      <c r="AB122" s="290"/>
      <c r="AC122" s="290"/>
      <c r="AD122" s="290"/>
      <c r="AE122" s="293"/>
    </row>
    <row r="123" spans="1:39" ht="22">
      <c r="A123" s="224"/>
      <c r="B123" s="224"/>
      <c r="C123" s="241" t="s">
        <v>133</v>
      </c>
      <c r="D123" s="224"/>
      <c r="E123" s="224"/>
      <c r="F123" s="224"/>
      <c r="G123" s="224"/>
      <c r="H123" s="224"/>
      <c r="I123" s="224"/>
      <c r="J123" s="224"/>
      <c r="K123" s="224"/>
      <c r="L123" s="224"/>
      <c r="M123" s="224"/>
      <c r="N123" s="224"/>
      <c r="O123" s="224"/>
      <c r="P123" s="224"/>
      <c r="Q123" s="225"/>
      <c r="R123" s="224"/>
      <c r="S123" s="224"/>
      <c r="T123" s="230"/>
      <c r="U123" s="230"/>
      <c r="V123" s="224"/>
      <c r="W123" s="226"/>
      <c r="X123" s="226"/>
      <c r="Y123" s="226"/>
      <c r="Z123" s="226"/>
    </row>
    <row r="124" spans="1:39" ht="9" customHeight="1">
      <c r="A124" s="224"/>
      <c r="B124" s="224"/>
      <c r="C124" s="224"/>
      <c r="D124" s="224"/>
      <c r="E124" s="224"/>
      <c r="F124" s="224"/>
      <c r="G124" s="224"/>
      <c r="H124" s="224"/>
      <c r="I124" s="224"/>
      <c r="J124" s="224"/>
      <c r="K124" s="224"/>
      <c r="L124" s="224"/>
      <c r="M124" s="224"/>
      <c r="N124" s="224"/>
      <c r="O124" s="224"/>
      <c r="P124" s="224"/>
      <c r="Q124" s="225" t="s">
        <v>68</v>
      </c>
      <c r="R124" s="277"/>
      <c r="S124" s="224"/>
      <c r="T124" s="242"/>
      <c r="U124" s="230"/>
      <c r="V124" s="224"/>
      <c r="W124" s="226"/>
      <c r="X124" s="226"/>
      <c r="Y124" s="226"/>
      <c r="Z124" s="226"/>
      <c r="AD124" s="271" t="s">
        <v>71</v>
      </c>
      <c r="AE124" s="296">
        <v>0.4</v>
      </c>
      <c r="AJ124" s="273"/>
      <c r="AK124" s="297"/>
    </row>
    <row r="125" spans="1:39">
      <c r="A125" s="224"/>
      <c r="B125" s="224"/>
      <c r="C125" s="237" t="s">
        <v>445</v>
      </c>
      <c r="D125" s="224"/>
      <c r="E125" s="224"/>
      <c r="F125" s="224"/>
      <c r="G125" s="224" t="s">
        <v>130</v>
      </c>
      <c r="H125" s="224"/>
      <c r="I125" s="224"/>
      <c r="J125" s="224"/>
      <c r="K125" s="224"/>
      <c r="L125" s="224"/>
      <c r="M125" s="224"/>
      <c r="N125" s="224"/>
      <c r="O125" s="224"/>
      <c r="P125" s="224"/>
      <c r="Q125" s="225"/>
      <c r="R125" s="459">
        <f>VLOOKUP($M$90,Producten!$H$7:$AA$1007,14,FALSE)</f>
        <v>14999</v>
      </c>
      <c r="S125" s="459"/>
      <c r="T125" s="459"/>
      <c r="U125" s="224" t="s">
        <v>50</v>
      </c>
      <c r="V125" s="224"/>
      <c r="W125" s="226"/>
      <c r="X125" s="226"/>
      <c r="Y125" s="226"/>
      <c r="Z125" s="226"/>
    </row>
    <row r="126" spans="1:39" ht="9" customHeight="1">
      <c r="A126" s="224"/>
      <c r="B126" s="224"/>
      <c r="C126" s="224"/>
      <c r="D126" s="224"/>
      <c r="E126" s="224"/>
      <c r="F126" s="224"/>
      <c r="G126" s="224"/>
      <c r="H126" s="224"/>
      <c r="I126" s="224"/>
      <c r="J126" s="224"/>
      <c r="K126" s="224"/>
      <c r="L126" s="224"/>
      <c r="M126" s="224"/>
      <c r="N126" s="224"/>
      <c r="O126" s="224"/>
      <c r="P126" s="224"/>
      <c r="Q126" s="225"/>
      <c r="R126" s="270"/>
      <c r="S126" s="230"/>
      <c r="T126" s="230"/>
      <c r="U126" s="233"/>
      <c r="V126" s="233"/>
      <c r="W126" s="226"/>
      <c r="X126" s="226"/>
      <c r="Y126" s="226"/>
      <c r="Z126" s="226"/>
    </row>
    <row r="127" spans="1:39">
      <c r="A127" s="224"/>
      <c r="B127" s="224"/>
      <c r="C127" s="237" t="s">
        <v>447</v>
      </c>
      <c r="D127" s="224"/>
      <c r="E127" s="224"/>
      <c r="F127" s="224"/>
      <c r="G127" s="224" t="s">
        <v>451</v>
      </c>
      <c r="H127" s="224"/>
      <c r="I127" s="224"/>
      <c r="J127" s="224"/>
      <c r="K127" s="224"/>
      <c r="L127" s="224"/>
      <c r="M127" s="224"/>
      <c r="N127" s="224"/>
      <c r="O127" s="224"/>
      <c r="P127" s="224"/>
      <c r="Q127" s="225"/>
      <c r="R127" s="430">
        <v>0</v>
      </c>
      <c r="S127" s="430"/>
      <c r="T127" s="430"/>
      <c r="U127" s="224" t="s">
        <v>50</v>
      </c>
      <c r="V127" s="224"/>
      <c r="W127" s="226"/>
      <c r="X127" s="226"/>
      <c r="Y127" s="226"/>
      <c r="Z127" s="226"/>
    </row>
    <row r="128" spans="1:39" ht="9" customHeight="1">
      <c r="A128" s="224"/>
      <c r="B128" s="224"/>
      <c r="C128" s="224"/>
      <c r="D128" s="224"/>
      <c r="E128" s="224"/>
      <c r="F128" s="224"/>
      <c r="G128" s="224"/>
      <c r="H128" s="224"/>
      <c r="I128" s="224"/>
      <c r="J128" s="224"/>
      <c r="K128" s="224"/>
      <c r="L128" s="224"/>
      <c r="M128" s="224"/>
      <c r="N128" s="224"/>
      <c r="O128" s="224"/>
      <c r="P128" s="224"/>
      <c r="Q128" s="225"/>
      <c r="R128" s="270"/>
      <c r="S128" s="230"/>
      <c r="T128" s="230"/>
      <c r="U128" s="233"/>
      <c r="V128" s="233"/>
      <c r="W128" s="226"/>
      <c r="X128" s="226"/>
      <c r="Y128" s="226"/>
      <c r="Z128" s="226"/>
    </row>
    <row r="129" spans="1:37">
      <c r="A129" s="224"/>
      <c r="B129" s="224"/>
      <c r="C129" s="237" t="s">
        <v>129</v>
      </c>
      <c r="D129" s="224"/>
      <c r="E129" s="224"/>
      <c r="F129" s="224"/>
      <c r="G129" s="224" t="s">
        <v>203</v>
      </c>
      <c r="H129" s="224"/>
      <c r="I129" s="224"/>
      <c r="J129" s="224"/>
      <c r="K129" s="224"/>
      <c r="L129" s="224"/>
      <c r="M129" s="224"/>
      <c r="N129" s="224"/>
      <c r="O129" s="224"/>
      <c r="P129" s="224"/>
      <c r="Q129" s="225"/>
      <c r="R129" s="430">
        <v>0</v>
      </c>
      <c r="S129" s="430"/>
      <c r="T129" s="430"/>
      <c r="U129" s="431" t="s">
        <v>105</v>
      </c>
      <c r="V129" s="431"/>
      <c r="W129" s="226"/>
      <c r="X129" s="226"/>
      <c r="Y129" s="226"/>
      <c r="Z129" s="226"/>
    </row>
    <row r="130" spans="1:37" ht="9" customHeight="1">
      <c r="A130" s="224"/>
      <c r="B130" s="224"/>
      <c r="C130" s="224"/>
      <c r="D130" s="224"/>
      <c r="E130" s="224"/>
      <c r="F130" s="224"/>
      <c r="G130" s="224"/>
      <c r="H130" s="224"/>
      <c r="I130" s="224"/>
      <c r="J130" s="224"/>
      <c r="K130" s="224"/>
      <c r="L130" s="224"/>
      <c r="M130" s="224"/>
      <c r="N130" s="224"/>
      <c r="O130" s="224"/>
      <c r="P130" s="224"/>
      <c r="Q130" s="225"/>
      <c r="R130" s="270"/>
      <c r="S130" s="230"/>
      <c r="T130" s="230"/>
      <c r="U130" s="233"/>
      <c r="V130" s="233"/>
      <c r="W130" s="226"/>
      <c r="X130" s="226"/>
      <c r="Y130" s="226"/>
      <c r="Z130" s="226"/>
    </row>
    <row r="131" spans="1:37">
      <c r="A131" s="224"/>
      <c r="B131" s="224"/>
      <c r="C131" s="237" t="s">
        <v>39</v>
      </c>
      <c r="D131" s="224"/>
      <c r="E131" s="224"/>
      <c r="F131" s="224"/>
      <c r="G131" s="224" t="s">
        <v>552</v>
      </c>
      <c r="H131" s="224"/>
      <c r="I131" s="224"/>
      <c r="J131" s="224"/>
      <c r="K131" s="224"/>
      <c r="L131" s="224"/>
      <c r="M131" s="224"/>
      <c r="N131" s="224"/>
      <c r="O131" s="224"/>
      <c r="P131" s="224"/>
      <c r="Q131" s="225"/>
      <c r="R131" s="459">
        <f ca="1">Productselectie!C17</f>
        <v>0</v>
      </c>
      <c r="S131" s="459"/>
      <c r="T131" s="459"/>
      <c r="U131" s="431" t="s">
        <v>105</v>
      </c>
      <c r="V131" s="431"/>
      <c r="W131" s="226"/>
      <c r="X131" s="226"/>
      <c r="Y131" s="226"/>
      <c r="Z131" s="226"/>
    </row>
    <row r="132" spans="1:37" ht="9" customHeight="1">
      <c r="A132" s="224"/>
      <c r="B132" s="224"/>
      <c r="C132" s="224"/>
      <c r="D132" s="224"/>
      <c r="E132" s="224"/>
      <c r="F132" s="224"/>
      <c r="G132" s="224"/>
      <c r="H132" s="224"/>
      <c r="I132" s="224"/>
      <c r="J132" s="224"/>
      <c r="K132" s="224"/>
      <c r="L132" s="224"/>
      <c r="M132" s="224"/>
      <c r="N132" s="224"/>
      <c r="O132" s="224"/>
      <c r="P132" s="224"/>
      <c r="Q132" s="225"/>
      <c r="R132" s="270"/>
      <c r="S132" s="230"/>
      <c r="T132" s="242"/>
      <c r="U132" s="233"/>
      <c r="V132" s="233"/>
      <c r="W132" s="226"/>
      <c r="X132" s="226"/>
      <c r="Y132" s="226"/>
      <c r="Z132" s="226"/>
    </row>
    <row r="133" spans="1:37">
      <c r="A133" s="224"/>
      <c r="B133" s="224"/>
      <c r="C133" s="237" t="s">
        <v>104</v>
      </c>
      <c r="D133" s="224"/>
      <c r="E133" s="224"/>
      <c r="F133" s="224"/>
      <c r="G133" s="224" t="s">
        <v>114</v>
      </c>
      <c r="H133" s="224"/>
      <c r="I133" s="224"/>
      <c r="J133" s="224"/>
      <c r="K133" s="224"/>
      <c r="L133" s="224"/>
      <c r="M133" s="224"/>
      <c r="N133" s="224"/>
      <c r="O133" s="224"/>
      <c r="P133" s="224"/>
      <c r="Q133" s="225"/>
      <c r="R133" s="430">
        <v>0</v>
      </c>
      <c r="S133" s="430"/>
      <c r="T133" s="430"/>
      <c r="U133" s="431" t="s">
        <v>105</v>
      </c>
      <c r="V133" s="431"/>
      <c r="W133" s="226"/>
      <c r="X133" s="226"/>
      <c r="Y133" s="226"/>
      <c r="Z133" s="226"/>
    </row>
    <row r="134" spans="1:37" ht="41" customHeight="1">
      <c r="A134" s="224"/>
      <c r="B134" s="224"/>
      <c r="C134" s="224"/>
      <c r="D134" s="224"/>
      <c r="E134" s="224"/>
      <c r="F134" s="224"/>
      <c r="G134" s="224"/>
      <c r="H134" s="224"/>
      <c r="I134" s="224"/>
      <c r="J134" s="224"/>
      <c r="K134" s="224"/>
      <c r="L134" s="224"/>
      <c r="M134" s="230"/>
      <c r="N134" s="230"/>
      <c r="O134" s="230"/>
      <c r="P134" s="230"/>
      <c r="Q134" s="230"/>
      <c r="R134" s="230"/>
      <c r="S134" s="224"/>
      <c r="T134" s="299">
        <f ca="1">SUM(R125:T133)</f>
        <v>14999</v>
      </c>
      <c r="U134" s="225"/>
      <c r="V134" s="226"/>
      <c r="W134" s="226"/>
      <c r="X134" s="226"/>
      <c r="Y134" s="226"/>
      <c r="Z134" s="226"/>
    </row>
    <row r="135" spans="1:37" ht="22">
      <c r="A135" s="224"/>
      <c r="B135" s="224"/>
      <c r="C135" s="241" t="s">
        <v>51</v>
      </c>
      <c r="D135" s="224"/>
      <c r="E135" s="224"/>
      <c r="F135" s="224"/>
      <c r="G135" s="224"/>
      <c r="H135" s="224"/>
      <c r="I135" s="224"/>
      <c r="J135" s="224"/>
      <c r="K135" s="224"/>
      <c r="L135" s="224"/>
      <c r="M135" s="224"/>
      <c r="N135" s="224"/>
      <c r="O135" s="224"/>
      <c r="P135" s="224"/>
      <c r="Q135" s="225"/>
      <c r="R135" s="224"/>
      <c r="S135" s="224"/>
      <c r="T135" s="230"/>
      <c r="U135" s="230"/>
      <c r="V135" s="224"/>
      <c r="W135" s="226"/>
      <c r="X135" s="226"/>
      <c r="Y135" s="226"/>
      <c r="Z135" s="226"/>
    </row>
    <row r="136" spans="1:37" ht="9" customHeight="1">
      <c r="A136" s="224"/>
      <c r="B136" s="224"/>
      <c r="C136" s="224"/>
      <c r="D136" s="224"/>
      <c r="E136" s="224"/>
      <c r="F136" s="224"/>
      <c r="G136" s="224"/>
      <c r="H136" s="224"/>
      <c r="I136" s="224"/>
      <c r="J136" s="224"/>
      <c r="K136" s="224"/>
      <c r="L136" s="224"/>
      <c r="M136" s="224"/>
      <c r="N136" s="224"/>
      <c r="O136" s="224"/>
      <c r="P136" s="224"/>
      <c r="Q136" s="225" t="s">
        <v>68</v>
      </c>
      <c r="R136" s="277"/>
      <c r="S136" s="224"/>
      <c r="T136" s="242"/>
      <c r="U136" s="230"/>
      <c r="V136" s="224"/>
      <c r="W136" s="226"/>
      <c r="X136" s="226"/>
      <c r="Y136" s="226"/>
      <c r="Z136" s="226"/>
      <c r="AD136" s="271" t="s">
        <v>71</v>
      </c>
      <c r="AE136" s="296">
        <v>0.4</v>
      </c>
      <c r="AJ136" s="273"/>
      <c r="AK136" s="297"/>
    </row>
    <row r="137" spans="1:37">
      <c r="A137" s="224"/>
      <c r="B137" s="224"/>
      <c r="C137" s="237" t="s">
        <v>430</v>
      </c>
      <c r="D137" s="224"/>
      <c r="E137" s="224"/>
      <c r="F137" s="224"/>
      <c r="G137" s="224" t="s">
        <v>431</v>
      </c>
      <c r="H137" s="224"/>
      <c r="I137" s="224"/>
      <c r="J137" s="224"/>
      <c r="K137" s="224"/>
      <c r="L137" s="224"/>
      <c r="M137" s="224"/>
      <c r="N137" s="224"/>
      <c r="O137" s="286"/>
      <c r="P137" s="286"/>
      <c r="Q137" s="286"/>
      <c r="R137" s="434" t="s">
        <v>432</v>
      </c>
      <c r="S137" s="434"/>
      <c r="T137" s="434"/>
      <c r="U137" s="233"/>
      <c r="V137" s="233"/>
      <c r="W137" s="226"/>
      <c r="X137" s="226"/>
      <c r="Y137" s="226"/>
      <c r="Z137" s="226"/>
    </row>
    <row r="138" spans="1:37" ht="9" customHeight="1">
      <c r="A138" s="224"/>
      <c r="B138" s="224"/>
      <c r="C138" s="224"/>
      <c r="D138" s="224"/>
      <c r="E138" s="224"/>
      <c r="F138" s="224"/>
      <c r="G138" s="224"/>
      <c r="H138" s="224"/>
      <c r="I138" s="224"/>
      <c r="J138" s="224"/>
      <c r="K138" s="224"/>
      <c r="L138" s="224"/>
      <c r="M138" s="224"/>
      <c r="N138" s="224"/>
      <c r="O138" s="224"/>
      <c r="P138" s="224"/>
      <c r="Q138" s="225"/>
      <c r="R138" s="270"/>
      <c r="S138" s="230"/>
      <c r="T138" s="230"/>
      <c r="U138" s="233"/>
      <c r="V138" s="233"/>
      <c r="W138" s="226"/>
      <c r="X138" s="226"/>
      <c r="Y138" s="226"/>
      <c r="Z138" s="226"/>
    </row>
    <row r="139" spans="1:37">
      <c r="A139" s="224"/>
      <c r="B139" s="224"/>
      <c r="C139" s="237" t="s">
        <v>51</v>
      </c>
      <c r="D139" s="224"/>
      <c r="E139" s="224"/>
      <c r="F139" s="224"/>
      <c r="G139" s="224" t="s">
        <v>93</v>
      </c>
      <c r="H139" s="224"/>
      <c r="I139" s="224"/>
      <c r="J139" s="224"/>
      <c r="K139" s="224"/>
      <c r="L139" s="224"/>
      <c r="M139" s="224"/>
      <c r="N139" s="224"/>
      <c r="O139" s="286"/>
      <c r="P139" s="286"/>
      <c r="Q139" s="286"/>
      <c r="R139" s="434" t="s">
        <v>52</v>
      </c>
      <c r="S139" s="434"/>
      <c r="T139" s="434"/>
      <c r="U139" s="233"/>
      <c r="V139" s="233"/>
      <c r="W139" s="226"/>
      <c r="X139" s="226"/>
      <c r="Y139" s="226"/>
      <c r="Z139" s="226"/>
    </row>
    <row r="140" spans="1:37" ht="9" customHeight="1">
      <c r="A140" s="224"/>
      <c r="B140" s="224"/>
      <c r="C140" s="224"/>
      <c r="D140" s="224"/>
      <c r="E140" s="224"/>
      <c r="F140" s="224"/>
      <c r="G140" s="224"/>
      <c r="H140" s="224"/>
      <c r="I140" s="224"/>
      <c r="J140" s="224"/>
      <c r="K140" s="224"/>
      <c r="L140" s="224"/>
      <c r="M140" s="224"/>
      <c r="N140" s="224"/>
      <c r="O140" s="224"/>
      <c r="P140" s="224"/>
      <c r="Q140" s="225"/>
      <c r="R140" s="270"/>
      <c r="S140" s="230"/>
      <c r="T140" s="230"/>
      <c r="U140" s="233"/>
      <c r="V140" s="233"/>
      <c r="W140" s="226"/>
      <c r="X140" s="226"/>
      <c r="Y140" s="226"/>
      <c r="Z140" s="226"/>
    </row>
    <row r="141" spans="1:37" s="292" customFormat="1" ht="15.75" customHeight="1">
      <c r="A141" s="286"/>
      <c r="B141" s="286"/>
      <c r="C141" s="287" t="s">
        <v>428</v>
      </c>
      <c r="D141" s="286"/>
      <c r="E141" s="286"/>
      <c r="F141" s="286"/>
      <c r="G141" s="439" t="s">
        <v>429</v>
      </c>
      <c r="H141" s="440"/>
      <c r="I141" s="440"/>
      <c r="J141" s="440"/>
      <c r="K141" s="440"/>
      <c r="L141" s="440"/>
      <c r="M141" s="440"/>
      <c r="N141" s="440"/>
      <c r="O141" s="440"/>
      <c r="P141" s="440"/>
      <c r="Q141" s="440"/>
      <c r="R141" s="434" t="s">
        <v>67</v>
      </c>
      <c r="S141" s="434"/>
      <c r="T141" s="434"/>
      <c r="U141" s="438"/>
      <c r="V141" s="438"/>
      <c r="W141" s="300"/>
      <c r="X141" s="300"/>
      <c r="Y141" s="300"/>
      <c r="Z141" s="300"/>
      <c r="AA141" s="293"/>
      <c r="AB141" s="293"/>
      <c r="AD141" s="293"/>
      <c r="AE141" s="293"/>
      <c r="AF141" s="293"/>
      <c r="AG141" s="293"/>
      <c r="AH141" s="293"/>
    </row>
    <row r="142" spans="1:37" s="292" customFormat="1" ht="15.75" customHeight="1">
      <c r="A142" s="286"/>
      <c r="B142" s="286"/>
      <c r="C142" s="287"/>
      <c r="D142" s="286"/>
      <c r="E142" s="286"/>
      <c r="F142" s="286"/>
      <c r="G142" s="439"/>
      <c r="H142" s="440"/>
      <c r="I142" s="440"/>
      <c r="J142" s="440"/>
      <c r="K142" s="440"/>
      <c r="L142" s="440"/>
      <c r="M142" s="440"/>
      <c r="N142" s="440"/>
      <c r="O142" s="440"/>
      <c r="P142" s="440"/>
      <c r="Q142" s="286"/>
      <c r="R142" s="289"/>
      <c r="S142" s="437"/>
      <c r="T142" s="437"/>
      <c r="U142" s="438"/>
      <c r="V142" s="438"/>
      <c r="W142" s="300"/>
      <c r="X142" s="300"/>
      <c r="Y142" s="300"/>
      <c r="Z142" s="300"/>
      <c r="AA142" s="293"/>
      <c r="AB142" s="293"/>
      <c r="AD142" s="293"/>
      <c r="AE142" s="293"/>
      <c r="AF142" s="293"/>
      <c r="AG142" s="293"/>
      <c r="AH142" s="293"/>
    </row>
    <row r="143" spans="1:37" s="292" customFormat="1" ht="15.75" customHeight="1">
      <c r="A143" s="286"/>
      <c r="B143" s="286"/>
      <c r="C143" s="287"/>
      <c r="D143" s="286"/>
      <c r="E143" s="286"/>
      <c r="F143" s="286"/>
      <c r="G143" s="439"/>
      <c r="H143" s="440"/>
      <c r="I143" s="440"/>
      <c r="J143" s="440"/>
      <c r="K143" s="440"/>
      <c r="L143" s="440"/>
      <c r="M143" s="440"/>
      <c r="N143" s="440"/>
      <c r="O143" s="440"/>
      <c r="P143" s="440"/>
      <c r="Q143" s="286"/>
      <c r="R143" s="289"/>
      <c r="S143" s="437"/>
      <c r="T143" s="437"/>
      <c r="U143" s="438"/>
      <c r="V143" s="438"/>
      <c r="W143" s="300"/>
      <c r="X143" s="300"/>
      <c r="Y143" s="300"/>
      <c r="Z143" s="300"/>
      <c r="AA143" s="293"/>
      <c r="AB143" s="293"/>
      <c r="AD143" s="293"/>
      <c r="AE143" s="293"/>
      <c r="AF143" s="293"/>
      <c r="AG143" s="293"/>
      <c r="AH143" s="293"/>
    </row>
    <row r="144" spans="1:37" s="292" customFormat="1" ht="15.75" customHeight="1">
      <c r="A144" s="286"/>
      <c r="B144" s="286"/>
      <c r="C144" s="287" t="s">
        <v>74</v>
      </c>
      <c r="D144" s="286"/>
      <c r="E144" s="286"/>
      <c r="F144" s="286"/>
      <c r="G144" s="439" t="str">
        <f ca="1">BTW!E45</f>
        <v>€ 2430 minus € 15 per kWh capaciteit (€ 328).</v>
      </c>
      <c r="H144" s="441"/>
      <c r="I144" s="441"/>
      <c r="J144" s="441"/>
      <c r="K144" s="441"/>
      <c r="L144" s="441"/>
      <c r="M144" s="441"/>
      <c r="N144" s="441"/>
      <c r="O144" s="441"/>
      <c r="P144" s="441"/>
      <c r="Q144" s="441"/>
      <c r="R144" s="441"/>
      <c r="S144" s="437">
        <f ca="1">VLOOKUP(BTW!W8,BTW!W17:X24,2,FALSE)</f>
        <v>2102</v>
      </c>
      <c r="T144" s="437"/>
      <c r="U144" s="438"/>
      <c r="V144" s="438"/>
      <c r="W144" s="300"/>
      <c r="X144" s="300"/>
      <c r="Y144" s="300"/>
      <c r="Z144" s="300"/>
      <c r="AA144" s="293"/>
      <c r="AB144" s="293"/>
      <c r="AD144" s="293"/>
      <c r="AE144" s="293"/>
      <c r="AF144" s="293"/>
      <c r="AG144" s="293"/>
      <c r="AH144" s="293"/>
    </row>
    <row r="145" spans="1:34" s="292" customFormat="1" ht="15.75" customHeight="1">
      <c r="A145" s="286"/>
      <c r="B145" s="286"/>
      <c r="C145" s="287"/>
      <c r="D145" s="286"/>
      <c r="E145" s="286"/>
      <c r="F145" s="286"/>
      <c r="G145" s="439" t="str">
        <f ca="1">BTW!E46</f>
        <v/>
      </c>
      <c r="H145" s="441"/>
      <c r="I145" s="441"/>
      <c r="J145" s="441"/>
      <c r="K145" s="441"/>
      <c r="L145" s="441"/>
      <c r="M145" s="441"/>
      <c r="N145" s="441"/>
      <c r="O145" s="441"/>
      <c r="P145" s="441"/>
      <c r="Q145" s="441"/>
      <c r="R145" s="441"/>
      <c r="S145" s="437"/>
      <c r="T145" s="437"/>
      <c r="U145" s="438"/>
      <c r="V145" s="438"/>
      <c r="W145" s="300"/>
      <c r="X145" s="300"/>
      <c r="Y145" s="300"/>
      <c r="Z145" s="300"/>
      <c r="AA145" s="293"/>
      <c r="AB145" s="293"/>
      <c r="AD145" s="293"/>
      <c r="AE145" s="293"/>
      <c r="AF145" s="293"/>
      <c r="AG145" s="293"/>
      <c r="AH145" s="293"/>
    </row>
    <row r="146" spans="1:34" s="292" customFormat="1" ht="15.75" customHeight="1">
      <c r="A146" s="286"/>
      <c r="B146" s="286"/>
      <c r="C146" s="287"/>
      <c r="D146" s="286"/>
      <c r="E146" s="286"/>
      <c r="F146" s="286"/>
      <c r="G146" s="439" t="str">
        <f ca="1">BTW!E47</f>
        <v/>
      </c>
      <c r="H146" s="441"/>
      <c r="I146" s="441"/>
      <c r="J146" s="441"/>
      <c r="K146" s="441"/>
      <c r="L146" s="441"/>
      <c r="M146" s="441"/>
      <c r="N146" s="441"/>
      <c r="O146" s="441"/>
      <c r="P146" s="441"/>
      <c r="Q146" s="441"/>
      <c r="R146" s="441"/>
      <c r="S146" s="301"/>
      <c r="T146" s="301"/>
      <c r="U146" s="295"/>
      <c r="V146" s="295"/>
      <c r="W146" s="300"/>
      <c r="X146" s="300"/>
      <c r="Y146" s="300"/>
      <c r="Z146" s="300"/>
      <c r="AA146" s="293"/>
      <c r="AB146" s="293"/>
      <c r="AD146" s="293"/>
      <c r="AE146" s="293"/>
      <c r="AF146" s="293"/>
      <c r="AG146" s="293"/>
      <c r="AH146" s="293"/>
    </row>
    <row r="147" spans="1:34" s="292" customFormat="1" ht="15.75" customHeight="1">
      <c r="A147" s="286"/>
      <c r="B147" s="286"/>
      <c r="C147" s="287"/>
      <c r="D147" s="286"/>
      <c r="E147" s="286"/>
      <c r="F147" s="286"/>
      <c r="G147" s="439" t="str">
        <f ca="1">BTW!E48</f>
        <v/>
      </c>
      <c r="H147" s="441"/>
      <c r="I147" s="441"/>
      <c r="J147" s="441"/>
      <c r="K147" s="441"/>
      <c r="L147" s="441"/>
      <c r="M147" s="441"/>
      <c r="N147" s="441"/>
      <c r="O147" s="441"/>
      <c r="P147" s="441"/>
      <c r="Q147" s="441"/>
      <c r="R147" s="441"/>
      <c r="S147" s="437"/>
      <c r="T147" s="437"/>
      <c r="U147" s="438"/>
      <c r="V147" s="438"/>
      <c r="W147" s="300"/>
      <c r="X147" s="300"/>
      <c r="Y147" s="300"/>
      <c r="Z147" s="300"/>
      <c r="AA147" s="293"/>
      <c r="AB147" s="293"/>
      <c r="AD147" s="293"/>
      <c r="AE147" s="293"/>
      <c r="AF147" s="293"/>
      <c r="AG147" s="293"/>
      <c r="AH147" s="293"/>
    </row>
    <row r="148" spans="1:34" s="292" customFormat="1" ht="15.75" customHeight="1">
      <c r="A148" s="286"/>
      <c r="B148" s="286"/>
      <c r="C148" s="287"/>
      <c r="D148" s="286"/>
      <c r="E148" s="286"/>
      <c r="F148" s="286"/>
      <c r="G148" s="439" t="str">
        <f ca="1">BTW!E49</f>
        <v/>
      </c>
      <c r="H148" s="441"/>
      <c r="I148" s="441"/>
      <c r="J148" s="441"/>
      <c r="K148" s="441"/>
      <c r="L148" s="441"/>
      <c r="M148" s="441"/>
      <c r="N148" s="441"/>
      <c r="O148" s="441"/>
      <c r="P148" s="441"/>
      <c r="Q148" s="441"/>
      <c r="R148" s="441"/>
      <c r="S148" s="301"/>
      <c r="T148" s="301"/>
      <c r="U148" s="295"/>
      <c r="V148" s="295"/>
      <c r="W148" s="300"/>
      <c r="X148" s="300"/>
      <c r="Y148" s="300"/>
      <c r="Z148" s="300"/>
      <c r="AA148" s="293"/>
      <c r="AB148" s="293"/>
      <c r="AD148" s="293"/>
      <c r="AE148" s="293"/>
      <c r="AF148" s="293"/>
      <c r="AG148" s="293"/>
      <c r="AH148" s="293"/>
    </row>
    <row r="149" spans="1:34" s="292" customFormat="1" ht="15.75" customHeight="1">
      <c r="A149" s="286"/>
      <c r="B149" s="286"/>
      <c r="C149" s="287"/>
      <c r="D149" s="286"/>
      <c r="E149" s="286"/>
      <c r="F149" s="286"/>
      <c r="G149" s="439" t="str">
        <f ca="1">BTW!E50</f>
        <v/>
      </c>
      <c r="H149" s="441"/>
      <c r="I149" s="441"/>
      <c r="J149" s="441"/>
      <c r="K149" s="441"/>
      <c r="L149" s="441"/>
      <c r="M149" s="441"/>
      <c r="N149" s="441"/>
      <c r="O149" s="441"/>
      <c r="P149" s="441"/>
      <c r="Q149" s="441"/>
      <c r="R149" s="441"/>
      <c r="S149" s="301"/>
      <c r="T149" s="301"/>
      <c r="U149" s="295"/>
      <c r="V149" s="295"/>
      <c r="W149" s="300"/>
      <c r="X149" s="300"/>
      <c r="Y149" s="300"/>
      <c r="Z149" s="300"/>
      <c r="AA149" s="293"/>
      <c r="AB149" s="293"/>
      <c r="AD149" s="293"/>
      <c r="AE149" s="293"/>
      <c r="AF149" s="293"/>
      <c r="AG149" s="293"/>
      <c r="AH149" s="293"/>
    </row>
    <row r="150" spans="1:34" s="292" customFormat="1" ht="15.75" customHeight="1">
      <c r="A150" s="286"/>
      <c r="B150" s="286"/>
      <c r="C150" s="287"/>
      <c r="D150" s="286"/>
      <c r="E150" s="286"/>
      <c r="F150" s="286"/>
      <c r="G150" s="439" t="str">
        <f ca="1">BTW!E51</f>
        <v/>
      </c>
      <c r="H150" s="441"/>
      <c r="I150" s="441"/>
      <c r="J150" s="441"/>
      <c r="K150" s="441"/>
      <c r="L150" s="441"/>
      <c r="M150" s="441"/>
      <c r="N150" s="441"/>
      <c r="O150" s="441"/>
      <c r="P150" s="441"/>
      <c r="Q150" s="441"/>
      <c r="R150" s="441"/>
      <c r="S150" s="437"/>
      <c r="T150" s="437"/>
      <c r="U150" s="438"/>
      <c r="V150" s="438"/>
      <c r="W150" s="300"/>
      <c r="X150" s="300"/>
      <c r="Y150" s="300"/>
      <c r="Z150" s="300"/>
      <c r="AA150" s="293"/>
      <c r="AB150" s="293"/>
      <c r="AD150" s="293"/>
      <c r="AE150" s="293"/>
      <c r="AF150" s="293"/>
      <c r="AG150" s="293"/>
      <c r="AH150" s="293"/>
    </row>
    <row r="151" spans="1:34" ht="41" customHeight="1">
      <c r="A151" s="224"/>
      <c r="B151" s="224"/>
      <c r="C151" s="224"/>
      <c r="D151" s="224"/>
      <c r="E151" s="224"/>
      <c r="F151" s="224"/>
      <c r="G151" s="224"/>
      <c r="H151" s="224"/>
      <c r="I151" s="224"/>
      <c r="J151" s="224"/>
      <c r="K151" s="224"/>
      <c r="L151" s="224"/>
      <c r="M151" s="230"/>
      <c r="N151" s="230"/>
      <c r="O151" s="230"/>
      <c r="P151" s="230"/>
      <c r="Q151" s="230"/>
      <c r="R151" s="230"/>
      <c r="S151" s="230"/>
      <c r="T151" s="225"/>
      <c r="U151" s="225"/>
      <c r="V151" s="226"/>
      <c r="W151" s="226"/>
      <c r="X151" s="226"/>
      <c r="Y151" s="226"/>
      <c r="Z151" s="226"/>
    </row>
    <row r="152" spans="1:34">
      <c r="A152" s="354"/>
      <c r="B152" s="354"/>
      <c r="C152" s="355"/>
      <c r="D152" s="354"/>
      <c r="E152" s="354"/>
      <c r="F152" s="354"/>
      <c r="G152" s="354"/>
      <c r="H152" s="354"/>
      <c r="I152" s="354"/>
      <c r="J152" s="354"/>
      <c r="K152" s="354"/>
      <c r="L152" s="354"/>
      <c r="M152" s="354"/>
      <c r="N152" s="354"/>
      <c r="O152" s="354"/>
      <c r="P152" s="354"/>
      <c r="Q152" s="356"/>
      <c r="R152" s="357"/>
      <c r="S152" s="358"/>
      <c r="T152" s="358"/>
      <c r="U152" s="359"/>
      <c r="V152" s="359"/>
      <c r="W152" s="354"/>
      <c r="X152" s="354"/>
      <c r="Y152" s="354"/>
      <c r="Z152" s="354"/>
    </row>
    <row r="153" spans="1:34" s="303" customFormat="1" ht="22">
      <c r="A153" s="360"/>
      <c r="B153" s="360"/>
      <c r="C153" s="361" t="s">
        <v>137</v>
      </c>
      <c r="D153" s="360"/>
      <c r="E153" s="360"/>
      <c r="F153" s="360"/>
      <c r="G153" s="354" t="str">
        <f ca="1">IF(BTW!V10=0,"De eenmalige investering voor de klant, exclusief teruggave BTW.","De eenmalige investering voor de klant, inclusief teruggave BTW.")</f>
        <v>De eenmalige investering voor de klant, inclusief teruggave BTW.</v>
      </c>
      <c r="H153" s="360"/>
      <c r="I153" s="360"/>
      <c r="J153" s="360"/>
      <c r="K153" s="360"/>
      <c r="L153" s="360"/>
      <c r="M153" s="360"/>
      <c r="N153" s="360"/>
      <c r="O153" s="360"/>
      <c r="P153" s="360"/>
      <c r="Q153" s="360"/>
      <c r="R153" s="432">
        <f ca="1">R125+R127+R129+R131+R133-BTW!V12</f>
        <v>12897</v>
      </c>
      <c r="S153" s="433"/>
      <c r="T153" s="433"/>
      <c r="U153" s="362"/>
      <c r="V153" s="362"/>
      <c r="W153" s="360"/>
      <c r="X153" s="360"/>
      <c r="Y153" s="360"/>
      <c r="Z153" s="360"/>
      <c r="AA153" s="302"/>
      <c r="AB153" s="302"/>
      <c r="AD153" s="302"/>
      <c r="AE153" s="302"/>
      <c r="AF153" s="302"/>
      <c r="AG153" s="302"/>
      <c r="AH153" s="302"/>
    </row>
    <row r="154" spans="1:34">
      <c r="A154" s="354"/>
      <c r="B154" s="354"/>
      <c r="C154" s="355"/>
      <c r="D154" s="354"/>
      <c r="E154" s="354"/>
      <c r="F154" s="354"/>
      <c r="G154" s="354"/>
      <c r="H154" s="354"/>
      <c r="I154" s="354"/>
      <c r="J154" s="354"/>
      <c r="K154" s="354"/>
      <c r="L154" s="354"/>
      <c r="M154" s="354"/>
      <c r="N154" s="354"/>
      <c r="O154" s="354"/>
      <c r="P154" s="354"/>
      <c r="Q154" s="356"/>
      <c r="R154" s="357"/>
      <c r="S154" s="358"/>
      <c r="T154" s="358"/>
      <c r="U154" s="359"/>
      <c r="V154" s="359"/>
      <c r="W154" s="354"/>
      <c r="X154" s="354"/>
      <c r="Y154" s="354"/>
      <c r="Z154" s="354"/>
    </row>
    <row r="155" spans="1:34" ht="35" hidden="1" customHeight="1">
      <c r="A155" s="224"/>
      <c r="B155" s="224"/>
      <c r="C155" s="224"/>
      <c r="D155" s="224"/>
      <c r="E155" s="224"/>
      <c r="F155" s="224"/>
      <c r="G155" s="224"/>
      <c r="H155" s="224"/>
      <c r="I155" s="224"/>
      <c r="J155" s="224"/>
      <c r="K155" s="224"/>
      <c r="L155" s="224"/>
      <c r="M155" s="224"/>
      <c r="N155" s="224"/>
      <c r="O155" s="224"/>
      <c r="P155" s="224"/>
      <c r="Q155" s="225"/>
      <c r="R155" s="270"/>
      <c r="S155" s="230"/>
      <c r="T155" s="230"/>
      <c r="U155" s="233"/>
      <c r="V155" s="233"/>
      <c r="W155" s="226"/>
      <c r="X155" s="226"/>
      <c r="Y155" s="226"/>
      <c r="Z155" s="226"/>
    </row>
    <row r="156" spans="1:34" ht="22" hidden="1">
      <c r="A156" s="224"/>
      <c r="B156" s="224"/>
      <c r="C156" s="241" t="s">
        <v>132</v>
      </c>
      <c r="D156" s="224"/>
      <c r="E156" s="224"/>
      <c r="F156" s="224"/>
      <c r="G156" s="224"/>
      <c r="H156" s="224"/>
      <c r="I156" s="224"/>
      <c r="J156" s="224"/>
      <c r="K156" s="224"/>
      <c r="L156" s="224"/>
      <c r="M156" s="224"/>
      <c r="N156" s="224"/>
      <c r="O156" s="224"/>
      <c r="P156" s="224"/>
      <c r="Q156" s="225"/>
      <c r="R156" s="224"/>
      <c r="S156" s="224"/>
      <c r="T156" s="230"/>
      <c r="U156" s="230"/>
      <c r="V156" s="224"/>
      <c r="W156" s="226"/>
      <c r="X156" s="226"/>
      <c r="Y156" s="226"/>
      <c r="Z156" s="226"/>
    </row>
    <row r="157" spans="1:34" ht="9" hidden="1" customHeight="1">
      <c r="A157" s="224"/>
      <c r="B157" s="224"/>
      <c r="C157" s="224"/>
      <c r="D157" s="224"/>
      <c r="E157" s="224"/>
      <c r="F157" s="224"/>
      <c r="G157" s="224"/>
      <c r="H157" s="224"/>
      <c r="I157" s="224"/>
      <c r="J157" s="224"/>
      <c r="K157" s="224"/>
      <c r="L157" s="224"/>
      <c r="M157" s="224"/>
      <c r="N157" s="224"/>
      <c r="O157" s="224"/>
      <c r="P157" s="224"/>
      <c r="Q157" s="225"/>
      <c r="R157" s="270"/>
      <c r="S157" s="230"/>
      <c r="T157" s="230"/>
      <c r="U157" s="233"/>
      <c r="V157" s="233"/>
      <c r="W157" s="226"/>
      <c r="X157" s="226"/>
      <c r="Y157" s="226"/>
      <c r="Z157" s="226"/>
    </row>
    <row r="158" spans="1:34" hidden="1">
      <c r="A158" s="224"/>
      <c r="B158" s="224"/>
      <c r="C158" s="237" t="s">
        <v>79</v>
      </c>
      <c r="D158" s="224"/>
      <c r="E158" s="224"/>
      <c r="F158" s="224"/>
      <c r="G158" s="224" t="s">
        <v>94</v>
      </c>
      <c r="H158" s="224"/>
      <c r="I158" s="224"/>
      <c r="J158" s="224"/>
      <c r="K158" s="224"/>
      <c r="L158" s="224"/>
      <c r="M158" s="224"/>
      <c r="N158" s="224"/>
      <c r="O158" s="224"/>
      <c r="P158" s="224"/>
      <c r="Q158" s="225"/>
      <c r="R158" s="430">
        <v>0</v>
      </c>
      <c r="S158" s="430"/>
      <c r="T158" s="430"/>
      <c r="U158" s="431" t="s">
        <v>25</v>
      </c>
      <c r="V158" s="431"/>
      <c r="W158" s="226"/>
      <c r="X158" s="226"/>
      <c r="Y158" s="226"/>
      <c r="Z158" s="226"/>
    </row>
    <row r="159" spans="1:34" ht="9" hidden="1" customHeight="1">
      <c r="A159" s="224"/>
      <c r="B159" s="224"/>
      <c r="C159" s="224"/>
      <c r="D159" s="224"/>
      <c r="E159" s="224"/>
      <c r="F159" s="224"/>
      <c r="G159" s="224"/>
      <c r="H159" s="224"/>
      <c r="I159" s="224"/>
      <c r="J159" s="224"/>
      <c r="K159" s="224"/>
      <c r="L159" s="224"/>
      <c r="M159" s="224"/>
      <c r="N159" s="224"/>
      <c r="O159" s="224"/>
      <c r="P159" s="224"/>
      <c r="Q159" s="225"/>
      <c r="R159" s="270"/>
      <c r="S159" s="230"/>
      <c r="T159" s="230"/>
      <c r="U159" s="233"/>
      <c r="V159" s="233"/>
      <c r="W159" s="226"/>
      <c r="X159" s="226"/>
      <c r="Y159" s="226"/>
      <c r="Z159" s="226"/>
    </row>
    <row r="160" spans="1:34" hidden="1">
      <c r="A160" s="224"/>
      <c r="B160" s="224"/>
      <c r="C160" s="237" t="s">
        <v>24</v>
      </c>
      <c r="D160" s="224"/>
      <c r="E160" s="224"/>
      <c r="F160" s="224"/>
      <c r="G160" s="224" t="s">
        <v>95</v>
      </c>
      <c r="H160" s="224"/>
      <c r="I160" s="224"/>
      <c r="J160" s="224"/>
      <c r="K160" s="224"/>
      <c r="L160" s="224"/>
      <c r="M160" s="224"/>
      <c r="N160" s="224"/>
      <c r="O160" s="224"/>
      <c r="P160" s="224"/>
      <c r="Q160" s="225"/>
      <c r="R160" s="430">
        <v>0</v>
      </c>
      <c r="S160" s="430"/>
      <c r="T160" s="430"/>
      <c r="U160" s="431" t="s">
        <v>25</v>
      </c>
      <c r="V160" s="431"/>
      <c r="W160" s="226"/>
      <c r="X160" s="226"/>
      <c r="Y160" s="226"/>
      <c r="Z160" s="226"/>
    </row>
    <row r="161" spans="1:26" ht="32" customHeight="1">
      <c r="A161" s="224"/>
      <c r="B161" s="224"/>
      <c r="C161" s="224"/>
      <c r="D161" s="224"/>
      <c r="E161" s="224"/>
      <c r="F161" s="224"/>
      <c r="G161" s="224"/>
      <c r="H161" s="224"/>
      <c r="I161" s="224"/>
      <c r="J161" s="224"/>
      <c r="K161" s="224"/>
      <c r="L161" s="224"/>
      <c r="M161" s="230"/>
      <c r="N161" s="230"/>
      <c r="O161" s="230"/>
      <c r="P161" s="230"/>
      <c r="Q161" s="230"/>
      <c r="R161" s="230"/>
      <c r="S161" s="230"/>
      <c r="T161" s="225"/>
      <c r="U161" s="225"/>
      <c r="V161" s="226"/>
      <c r="W161" s="226"/>
      <c r="X161" s="226"/>
      <c r="Y161" s="226"/>
      <c r="Z161" s="226"/>
    </row>
    <row r="162" spans="1:26" ht="28">
      <c r="A162" s="224"/>
      <c r="B162" s="224"/>
      <c r="C162" s="235" t="s">
        <v>66</v>
      </c>
      <c r="D162" s="224"/>
      <c r="E162" s="224"/>
      <c r="F162" s="224"/>
      <c r="G162" s="224"/>
      <c r="H162" s="224"/>
      <c r="I162" s="224"/>
      <c r="J162" s="224"/>
      <c r="K162" s="224"/>
      <c r="L162" s="224"/>
      <c r="M162" s="224"/>
      <c r="N162" s="233"/>
      <c r="O162" s="233"/>
      <c r="P162" s="224"/>
      <c r="Q162" s="225"/>
      <c r="R162" s="225"/>
      <c r="S162" s="225"/>
      <c r="T162" s="225"/>
      <c r="U162" s="225"/>
      <c r="V162" s="226"/>
      <c r="W162" s="226"/>
      <c r="X162" s="226"/>
      <c r="Y162" s="226"/>
      <c r="Z162" s="226"/>
    </row>
    <row r="163" spans="1:26">
      <c r="A163" s="224"/>
      <c r="B163" s="224"/>
      <c r="C163" s="276" t="s">
        <v>91</v>
      </c>
      <c r="D163" s="224"/>
      <c r="E163" s="224"/>
      <c r="F163" s="224"/>
      <c r="G163" s="224"/>
      <c r="H163" s="224"/>
      <c r="I163" s="224"/>
      <c r="J163" s="224"/>
      <c r="K163" s="224"/>
      <c r="L163" s="230"/>
      <c r="M163" s="230"/>
      <c r="N163" s="233"/>
      <c r="O163" s="233"/>
      <c r="P163" s="224"/>
      <c r="Q163" s="225"/>
      <c r="R163" s="225"/>
      <c r="S163" s="225"/>
      <c r="T163" s="225"/>
      <c r="U163" s="225"/>
      <c r="V163" s="226"/>
      <c r="W163" s="226"/>
      <c r="X163" s="226"/>
      <c r="Y163" s="226"/>
      <c r="Z163" s="226"/>
    </row>
    <row r="164" spans="1:26">
      <c r="A164" s="224"/>
      <c r="B164" s="224"/>
      <c r="C164" s="276"/>
      <c r="D164" s="224"/>
      <c r="E164" s="224"/>
      <c r="F164" s="224"/>
      <c r="G164" s="224"/>
      <c r="H164" s="224"/>
      <c r="I164" s="224"/>
      <c r="J164" s="224"/>
      <c r="K164" s="224"/>
      <c r="L164" s="230"/>
      <c r="M164" s="230"/>
      <c r="N164" s="233"/>
      <c r="O164" s="233"/>
      <c r="P164" s="224"/>
      <c r="Q164" s="225"/>
      <c r="R164" s="225"/>
      <c r="S164" s="225"/>
      <c r="T164" s="225"/>
      <c r="U164" s="225"/>
      <c r="V164" s="226"/>
      <c r="W164" s="226"/>
      <c r="X164" s="226"/>
      <c r="Y164" s="226"/>
      <c r="Z164" s="226"/>
    </row>
    <row r="165" spans="1:26">
      <c r="A165" s="224"/>
      <c r="B165" s="224"/>
      <c r="C165" s="237" t="s">
        <v>75</v>
      </c>
      <c r="D165" s="224"/>
      <c r="E165" s="224"/>
      <c r="F165" s="224" t="s">
        <v>97</v>
      </c>
      <c r="G165" s="224"/>
      <c r="H165" s="224"/>
      <c r="I165" s="224"/>
      <c r="J165" s="224"/>
      <c r="K165" s="224"/>
      <c r="L165" s="224"/>
      <c r="M165" s="224"/>
      <c r="N165" s="224"/>
      <c r="O165" s="224"/>
      <c r="P165" s="224"/>
      <c r="Q165" s="225"/>
      <c r="R165" s="430">
        <v>0</v>
      </c>
      <c r="S165" s="430"/>
      <c r="T165" s="430"/>
      <c r="U165" s="431"/>
      <c r="V165" s="431"/>
      <c r="W165" s="226"/>
      <c r="X165" s="226"/>
      <c r="Y165" s="226"/>
      <c r="Z165" s="226"/>
    </row>
    <row r="166" spans="1:26" ht="9" customHeight="1">
      <c r="A166" s="224"/>
      <c r="B166" s="224"/>
      <c r="C166" s="224"/>
      <c r="D166" s="224"/>
      <c r="E166" s="224"/>
      <c r="F166" s="224"/>
      <c r="G166" s="224"/>
      <c r="H166" s="224"/>
      <c r="I166" s="224"/>
      <c r="J166" s="224"/>
      <c r="K166" s="224"/>
      <c r="L166" s="224"/>
      <c r="M166" s="224"/>
      <c r="N166" s="224"/>
      <c r="O166" s="224"/>
      <c r="P166" s="224"/>
      <c r="Q166" s="225"/>
      <c r="R166" s="225"/>
      <c r="S166" s="230"/>
      <c r="T166" s="230"/>
      <c r="U166" s="233"/>
      <c r="V166" s="233"/>
      <c r="W166" s="226"/>
      <c r="X166" s="226"/>
      <c r="Y166" s="226"/>
      <c r="Z166" s="226"/>
    </row>
    <row r="167" spans="1:26">
      <c r="A167" s="224"/>
      <c r="B167" s="224"/>
      <c r="C167" s="237" t="s">
        <v>33</v>
      </c>
      <c r="D167" s="224"/>
      <c r="E167" s="224"/>
      <c r="F167" s="224" t="s">
        <v>98</v>
      </c>
      <c r="G167" s="224"/>
      <c r="H167" s="224"/>
      <c r="I167" s="224"/>
      <c r="J167" s="224"/>
      <c r="K167" s="224"/>
      <c r="L167" s="224"/>
      <c r="M167" s="224"/>
      <c r="N167" s="224"/>
      <c r="O167" s="224"/>
      <c r="P167" s="224"/>
      <c r="Q167" s="225"/>
      <c r="R167" s="434">
        <v>10</v>
      </c>
      <c r="S167" s="434"/>
      <c r="T167" s="434"/>
      <c r="U167" s="431" t="s">
        <v>35</v>
      </c>
      <c r="V167" s="431"/>
      <c r="W167" s="226"/>
      <c r="X167" s="226"/>
      <c r="Y167" s="226"/>
      <c r="Z167" s="226"/>
    </row>
    <row r="168" spans="1:26" ht="9" customHeight="1">
      <c r="A168" s="224"/>
      <c r="B168" s="224"/>
      <c r="C168" s="224"/>
      <c r="D168" s="224"/>
      <c r="E168" s="224"/>
      <c r="F168" s="224"/>
      <c r="G168" s="224"/>
      <c r="H168" s="224"/>
      <c r="I168" s="224"/>
      <c r="J168" s="224"/>
      <c r="K168" s="224"/>
      <c r="L168" s="224"/>
      <c r="M168" s="224"/>
      <c r="N168" s="224"/>
      <c r="O168" s="224"/>
      <c r="P168" s="224"/>
      <c r="Q168" s="225"/>
      <c r="R168" s="225"/>
      <c r="S168" s="230"/>
      <c r="T168" s="230"/>
      <c r="U168" s="233"/>
      <c r="V168" s="233"/>
      <c r="W168" s="226"/>
      <c r="X168" s="226"/>
      <c r="Y168" s="226"/>
      <c r="Z168" s="226"/>
    </row>
    <row r="169" spans="1:26">
      <c r="A169" s="224"/>
      <c r="B169" s="224"/>
      <c r="C169" s="237" t="s">
        <v>34</v>
      </c>
      <c r="D169" s="224"/>
      <c r="E169" s="224"/>
      <c r="F169" s="224" t="s">
        <v>100</v>
      </c>
      <c r="G169" s="224"/>
      <c r="H169" s="224"/>
      <c r="I169" s="224"/>
      <c r="J169" s="224"/>
      <c r="K169" s="224"/>
      <c r="L169" s="224"/>
      <c r="M169" s="224"/>
      <c r="N169" s="224"/>
      <c r="O169" s="224"/>
      <c r="P169" s="224"/>
      <c r="Q169" s="225"/>
      <c r="R169" s="436">
        <v>6.6000000000000003E-2</v>
      </c>
      <c r="S169" s="436"/>
      <c r="T169" s="436"/>
      <c r="U169" s="431" t="s">
        <v>25</v>
      </c>
      <c r="V169" s="431"/>
      <c r="W169" s="226"/>
      <c r="X169" s="226"/>
      <c r="Y169" s="226"/>
      <c r="Z169" s="226"/>
    </row>
    <row r="170" spans="1:26" ht="9" customHeight="1">
      <c r="A170" s="224"/>
      <c r="B170" s="224"/>
      <c r="C170" s="224"/>
      <c r="D170" s="224"/>
      <c r="E170" s="224"/>
      <c r="F170" s="224"/>
      <c r="G170" s="224"/>
      <c r="H170" s="224"/>
      <c r="I170" s="224"/>
      <c r="J170" s="224"/>
      <c r="K170" s="224"/>
      <c r="L170" s="224"/>
      <c r="M170" s="224"/>
      <c r="N170" s="224"/>
      <c r="O170" s="224"/>
      <c r="P170" s="224"/>
      <c r="Q170" s="225"/>
      <c r="R170" s="225"/>
      <c r="S170" s="230"/>
      <c r="T170" s="230"/>
      <c r="U170" s="233"/>
      <c r="V170" s="233"/>
      <c r="W170" s="226"/>
      <c r="X170" s="226"/>
      <c r="Y170" s="226"/>
      <c r="Z170" s="226"/>
    </row>
    <row r="171" spans="1:26">
      <c r="A171" s="224"/>
      <c r="B171" s="224"/>
      <c r="C171" s="237" t="s">
        <v>76</v>
      </c>
      <c r="D171" s="224"/>
      <c r="E171" s="224"/>
      <c r="F171" s="224" t="s">
        <v>99</v>
      </c>
      <c r="G171" s="224"/>
      <c r="H171" s="224"/>
      <c r="I171" s="224"/>
      <c r="J171" s="224"/>
      <c r="K171" s="224"/>
      <c r="L171" s="224"/>
      <c r="M171" s="224"/>
      <c r="N171" s="224"/>
      <c r="O171" s="224"/>
      <c r="P171" s="224"/>
      <c r="Q171" s="225"/>
      <c r="R171" s="436">
        <v>0.36969999999999997</v>
      </c>
      <c r="S171" s="436"/>
      <c r="T171" s="436"/>
      <c r="U171" s="431"/>
      <c r="V171" s="431"/>
      <c r="W171" s="226"/>
      <c r="X171" s="226"/>
      <c r="Y171" s="226"/>
      <c r="Z171" s="226"/>
    </row>
    <row r="172" spans="1:26">
      <c r="A172" s="224"/>
      <c r="B172" s="224"/>
      <c r="C172" s="224"/>
      <c r="D172" s="224"/>
      <c r="E172" s="224"/>
      <c r="F172" s="224"/>
      <c r="G172" s="224"/>
      <c r="H172" s="224"/>
      <c r="I172" s="224"/>
      <c r="J172" s="224"/>
      <c r="K172" s="224"/>
      <c r="L172" s="224"/>
      <c r="M172" s="230"/>
      <c r="N172" s="230"/>
      <c r="O172" s="230"/>
      <c r="P172" s="230"/>
      <c r="Q172" s="230"/>
      <c r="R172" s="230"/>
      <c r="S172" s="230"/>
      <c r="T172" s="225"/>
      <c r="U172" s="225"/>
      <c r="V172" s="226"/>
      <c r="W172" s="226"/>
      <c r="X172" s="226"/>
      <c r="Y172" s="226"/>
      <c r="Z172" s="226"/>
    </row>
    <row r="173" spans="1:26">
      <c r="A173" s="252"/>
      <c r="B173" s="252"/>
      <c r="C173" s="252"/>
      <c r="D173" s="252"/>
      <c r="E173" s="252"/>
      <c r="F173" s="252"/>
      <c r="G173" s="252"/>
      <c r="H173" s="252"/>
      <c r="I173" s="252"/>
      <c r="J173" s="252"/>
      <c r="K173" s="252"/>
      <c r="L173" s="252"/>
      <c r="M173" s="252"/>
      <c r="N173" s="259"/>
      <c r="O173" s="252"/>
      <c r="P173" s="252"/>
      <c r="Q173" s="253"/>
      <c r="R173" s="253"/>
      <c r="S173" s="253"/>
      <c r="T173" s="253"/>
      <c r="U173" s="253"/>
      <c r="V173" s="257"/>
      <c r="W173" s="257"/>
      <c r="X173" s="257"/>
      <c r="Y173" s="257"/>
      <c r="Z173" s="257"/>
    </row>
    <row r="174" spans="1:26" ht="22">
      <c r="A174" s="252"/>
      <c r="B174" s="252"/>
      <c r="C174" s="258" t="s">
        <v>81</v>
      </c>
      <c r="D174" s="252"/>
      <c r="E174" s="252"/>
      <c r="F174" s="252"/>
      <c r="G174" s="252"/>
      <c r="H174" s="252"/>
      <c r="I174" s="252"/>
      <c r="J174" s="252"/>
      <c r="K174" s="252"/>
      <c r="L174" s="254"/>
      <c r="M174" s="254"/>
      <c r="N174" s="304"/>
      <c r="O174" s="254"/>
      <c r="P174" s="252"/>
      <c r="Q174" s="253"/>
      <c r="R174" s="253"/>
      <c r="S174" s="253"/>
      <c r="T174" s="253"/>
      <c r="U174" s="253"/>
      <c r="V174" s="257"/>
      <c r="W174" s="257"/>
      <c r="X174" s="257"/>
      <c r="Y174" s="257"/>
      <c r="Z174" s="257"/>
    </row>
    <row r="175" spans="1:26" ht="6" customHeight="1">
      <c r="A175" s="252"/>
      <c r="B175" s="252"/>
      <c r="C175" s="252"/>
      <c r="D175" s="252"/>
      <c r="E175" s="252"/>
      <c r="F175" s="252"/>
      <c r="G175" s="252"/>
      <c r="H175" s="252"/>
      <c r="I175" s="252"/>
      <c r="J175" s="252"/>
      <c r="K175" s="252"/>
      <c r="L175" s="254"/>
      <c r="M175" s="305"/>
      <c r="N175" s="304"/>
      <c r="O175" s="254"/>
      <c r="P175" s="252"/>
      <c r="Q175" s="253"/>
      <c r="R175" s="253"/>
      <c r="S175" s="253"/>
      <c r="T175" s="253"/>
      <c r="U175" s="253"/>
      <c r="V175" s="257"/>
      <c r="W175" s="257"/>
      <c r="X175" s="257"/>
      <c r="Y175" s="257"/>
      <c r="Z175" s="257"/>
    </row>
    <row r="176" spans="1:26">
      <c r="A176" s="252"/>
      <c r="B176" s="252"/>
      <c r="C176" s="262" t="s">
        <v>32</v>
      </c>
      <c r="D176" s="252"/>
      <c r="E176" s="252"/>
      <c r="F176" s="252" t="s">
        <v>101</v>
      </c>
      <c r="G176" s="252"/>
      <c r="H176" s="252"/>
      <c r="I176" s="252"/>
      <c r="J176" s="252"/>
      <c r="K176" s="252"/>
      <c r="L176" s="252"/>
      <c r="M176" s="252"/>
      <c r="N176" s="252"/>
      <c r="O176" s="252"/>
      <c r="P176" s="252"/>
      <c r="Q176" s="253"/>
      <c r="R176" s="253"/>
      <c r="S176" s="470">
        <f>IF(ISERROR((PMT(Calculator!R169/12,Calculator!R167*12,Calculator!R165*-1))),0,(PMT(Calculator!R169/12,Calculator!R167*12,Calculator!R165*-1)))</f>
        <v>0</v>
      </c>
      <c r="T176" s="470"/>
      <c r="U176" s="471" t="s">
        <v>60</v>
      </c>
      <c r="V176" s="471"/>
      <c r="W176" s="257"/>
      <c r="X176" s="257"/>
      <c r="Y176" s="257"/>
      <c r="Z176" s="257"/>
    </row>
    <row r="177" spans="1:34" ht="6" customHeight="1">
      <c r="A177" s="252"/>
      <c r="B177" s="252"/>
      <c r="C177" s="262"/>
      <c r="D177" s="252"/>
      <c r="E177" s="252"/>
      <c r="F177" s="252"/>
      <c r="G177" s="252"/>
      <c r="H177" s="252"/>
      <c r="I177" s="252"/>
      <c r="J177" s="252"/>
      <c r="K177" s="252"/>
      <c r="L177" s="252"/>
      <c r="M177" s="252"/>
      <c r="N177" s="252"/>
      <c r="O177" s="252"/>
      <c r="P177" s="252"/>
      <c r="Q177" s="253"/>
      <c r="R177" s="253"/>
      <c r="S177" s="266"/>
      <c r="T177" s="266"/>
      <c r="U177" s="259"/>
      <c r="V177" s="259"/>
      <c r="W177" s="257"/>
      <c r="X177" s="257"/>
      <c r="Y177" s="257"/>
      <c r="Z177" s="257"/>
    </row>
    <row r="178" spans="1:34">
      <c r="A178" s="252"/>
      <c r="B178" s="252"/>
      <c r="C178" s="363" t="s">
        <v>30</v>
      </c>
      <c r="D178" s="364"/>
      <c r="E178" s="364"/>
      <c r="F178" s="364" t="s">
        <v>102</v>
      </c>
      <c r="G178" s="363"/>
      <c r="H178" s="363"/>
      <c r="I178" s="363"/>
      <c r="J178" s="363"/>
      <c r="K178" s="363"/>
      <c r="L178" s="364"/>
      <c r="M178" s="364"/>
      <c r="N178" s="364"/>
      <c r="O178" s="364"/>
      <c r="P178" s="364"/>
      <c r="Q178" s="365"/>
      <c r="R178" s="365"/>
      <c r="S178" s="469">
        <f>S176-((R165*(R169/12))*R171)</f>
        <v>0</v>
      </c>
      <c r="T178" s="469"/>
      <c r="U178" s="472" t="s">
        <v>60</v>
      </c>
      <c r="V178" s="472"/>
      <c r="W178" s="257"/>
      <c r="X178" s="257"/>
      <c r="Y178" s="257"/>
      <c r="Z178" s="257"/>
    </row>
    <row r="179" spans="1:34">
      <c r="A179" s="252"/>
      <c r="B179" s="252"/>
      <c r="C179" s="252"/>
      <c r="D179" s="252"/>
      <c r="E179" s="252"/>
      <c r="F179" s="252"/>
      <c r="G179" s="252"/>
      <c r="H179" s="252"/>
      <c r="I179" s="252"/>
      <c r="J179" s="252"/>
      <c r="K179" s="252"/>
      <c r="L179" s="254"/>
      <c r="M179" s="254"/>
      <c r="N179" s="304"/>
      <c r="O179" s="254"/>
      <c r="P179" s="252"/>
      <c r="Q179" s="253"/>
      <c r="R179" s="253"/>
      <c r="S179" s="253"/>
      <c r="T179" s="253"/>
      <c r="U179" s="253"/>
      <c r="V179" s="257"/>
      <c r="W179" s="257"/>
      <c r="X179" s="257"/>
      <c r="Y179" s="257"/>
      <c r="Z179" s="257"/>
    </row>
    <row r="180" spans="1:34" ht="65" customHeight="1">
      <c r="A180" s="224"/>
      <c r="B180" s="224"/>
      <c r="C180" s="224"/>
      <c r="D180" s="224"/>
      <c r="E180" s="224"/>
      <c r="F180" s="224"/>
      <c r="G180" s="224"/>
      <c r="H180" s="224"/>
      <c r="I180" s="224"/>
      <c r="J180" s="224"/>
      <c r="K180" s="224"/>
      <c r="L180" s="224"/>
      <c r="M180" s="230"/>
      <c r="N180" s="230"/>
      <c r="O180" s="230"/>
      <c r="P180" s="230"/>
      <c r="Q180" s="230"/>
      <c r="R180" s="230"/>
      <c r="S180" s="230"/>
      <c r="T180" s="225"/>
      <c r="U180" s="225"/>
      <c r="V180" s="226"/>
      <c r="W180" s="226"/>
      <c r="X180" s="226"/>
      <c r="Y180" s="226"/>
      <c r="Z180" s="226"/>
    </row>
    <row r="181" spans="1:34" ht="28">
      <c r="A181" s="224"/>
      <c r="B181" s="224"/>
      <c r="C181" s="306" t="s">
        <v>452</v>
      </c>
      <c r="D181" s="224"/>
      <c r="E181" s="224"/>
      <c r="F181" s="224"/>
      <c r="G181" s="224"/>
      <c r="H181" s="224"/>
      <c r="I181" s="224"/>
      <c r="J181" s="224"/>
      <c r="K181" s="224"/>
      <c r="L181" s="224"/>
      <c r="M181" s="224"/>
      <c r="N181" s="230"/>
      <c r="O181" s="224"/>
      <c r="P181" s="224"/>
      <c r="Q181" s="225"/>
      <c r="R181" s="225"/>
      <c r="S181" s="225"/>
      <c r="T181" s="225"/>
      <c r="U181" s="225"/>
      <c r="V181" s="226"/>
      <c r="W181" s="226"/>
      <c r="X181" s="226"/>
      <c r="Y181" s="226"/>
      <c r="Z181" s="226"/>
    </row>
    <row r="182" spans="1:34" ht="54" customHeight="1">
      <c r="A182" s="224"/>
      <c r="B182" s="224"/>
      <c r="C182" s="435" t="s">
        <v>92</v>
      </c>
      <c r="D182" s="435"/>
      <c r="E182" s="435"/>
      <c r="F182" s="435"/>
      <c r="G182" s="435"/>
      <c r="H182" s="435"/>
      <c r="I182" s="435"/>
      <c r="J182" s="435"/>
      <c r="K182" s="435"/>
      <c r="L182" s="435"/>
      <c r="M182" s="435"/>
      <c r="N182" s="435"/>
      <c r="O182" s="435"/>
      <c r="P182" s="435"/>
      <c r="Q182" s="435"/>
      <c r="R182" s="435"/>
      <c r="S182" s="435"/>
      <c r="T182" s="435"/>
      <c r="U182" s="435"/>
      <c r="V182" s="435"/>
      <c r="W182" s="435"/>
      <c r="X182" s="236"/>
      <c r="Y182" s="236"/>
      <c r="Z182" s="224"/>
    </row>
    <row r="183" spans="1:34" ht="264" customHeight="1">
      <c r="A183" s="224"/>
      <c r="B183" s="224"/>
      <c r="C183" s="224"/>
      <c r="D183" s="224"/>
      <c r="E183" s="224"/>
      <c r="F183" s="224"/>
      <c r="G183" s="224"/>
      <c r="H183" s="224"/>
      <c r="I183" s="224"/>
      <c r="J183" s="224"/>
      <c r="K183" s="224"/>
      <c r="L183" s="224"/>
      <c r="M183" s="224"/>
      <c r="N183" s="224"/>
      <c r="O183" s="224"/>
      <c r="P183" s="224"/>
      <c r="Q183" s="225"/>
      <c r="R183" s="225"/>
      <c r="S183" s="225"/>
      <c r="T183" s="225"/>
      <c r="U183" s="225"/>
      <c r="V183" s="226"/>
      <c r="W183" s="226"/>
      <c r="X183" s="226"/>
      <c r="Y183" s="226"/>
      <c r="Z183" s="226"/>
    </row>
    <row r="184" spans="1:34">
      <c r="A184" s="224"/>
      <c r="B184" s="224"/>
      <c r="C184" s="224"/>
      <c r="D184" s="224"/>
      <c r="E184" s="224"/>
      <c r="F184" s="224"/>
      <c r="G184" s="224"/>
      <c r="H184" s="224"/>
      <c r="I184" s="224"/>
      <c r="J184" s="224"/>
      <c r="K184" s="224"/>
      <c r="L184" s="224"/>
      <c r="M184" s="230"/>
      <c r="N184" s="230"/>
      <c r="O184" s="230"/>
      <c r="P184" s="230"/>
      <c r="Q184" s="230"/>
      <c r="R184" s="230"/>
      <c r="S184" s="230"/>
      <c r="T184" s="225"/>
      <c r="U184" s="225"/>
      <c r="V184" s="226"/>
      <c r="W184" s="226"/>
      <c r="X184" s="226"/>
      <c r="Y184" s="226"/>
      <c r="Z184" s="226"/>
    </row>
    <row r="185" spans="1:34">
      <c r="A185" s="224"/>
      <c r="B185" s="224"/>
      <c r="C185" s="224"/>
      <c r="D185" s="397">
        <f ca="1">Jaargegevens!A14</f>
        <v>2025</v>
      </c>
      <c r="E185" s="397">
        <f t="shared" ref="E185:X185" ca="1" si="0">D185+1</f>
        <v>2026</v>
      </c>
      <c r="F185" s="397">
        <f t="shared" ca="1" si="0"/>
        <v>2027</v>
      </c>
      <c r="G185" s="397">
        <f t="shared" ca="1" si="0"/>
        <v>2028</v>
      </c>
      <c r="H185" s="397">
        <f t="shared" ca="1" si="0"/>
        <v>2029</v>
      </c>
      <c r="I185" s="397">
        <f t="shared" ca="1" si="0"/>
        <v>2030</v>
      </c>
      <c r="J185" s="397">
        <f t="shared" ca="1" si="0"/>
        <v>2031</v>
      </c>
      <c r="K185" s="397">
        <f t="shared" ca="1" si="0"/>
        <v>2032</v>
      </c>
      <c r="L185" s="397">
        <f t="shared" ca="1" si="0"/>
        <v>2033</v>
      </c>
      <c r="M185" s="397">
        <f t="shared" ca="1" si="0"/>
        <v>2034</v>
      </c>
      <c r="N185" s="397">
        <f t="shared" ca="1" si="0"/>
        <v>2035</v>
      </c>
      <c r="O185" s="397">
        <f t="shared" ca="1" si="0"/>
        <v>2036</v>
      </c>
      <c r="P185" s="397">
        <f t="shared" ca="1" si="0"/>
        <v>2037</v>
      </c>
      <c r="Q185" s="397">
        <f t="shared" ca="1" si="0"/>
        <v>2038</v>
      </c>
      <c r="R185" s="397">
        <f t="shared" ca="1" si="0"/>
        <v>2039</v>
      </c>
      <c r="S185" s="397">
        <f t="shared" ca="1" si="0"/>
        <v>2040</v>
      </c>
      <c r="T185" s="397">
        <f t="shared" ca="1" si="0"/>
        <v>2041</v>
      </c>
      <c r="U185" s="397">
        <f t="shared" ca="1" si="0"/>
        <v>2042</v>
      </c>
      <c r="V185" s="397">
        <f t="shared" ca="1" si="0"/>
        <v>2043</v>
      </c>
      <c r="W185" s="397">
        <f t="shared" ca="1" si="0"/>
        <v>2044</v>
      </c>
      <c r="X185" s="398">
        <f t="shared" ca="1" si="0"/>
        <v>2045</v>
      </c>
      <c r="Y185" s="307"/>
      <c r="Z185" s="307"/>
    </row>
    <row r="186" spans="1:34" ht="6" customHeight="1">
      <c r="A186" s="224"/>
      <c r="B186" s="224"/>
      <c r="C186" s="307"/>
      <c r="D186" s="308"/>
      <c r="E186" s="308"/>
      <c r="F186" s="308"/>
      <c r="G186" s="308"/>
      <c r="H186" s="308"/>
      <c r="I186" s="308"/>
      <c r="J186" s="308"/>
      <c r="K186" s="308"/>
      <c r="L186" s="308"/>
      <c r="M186" s="308"/>
      <c r="N186" s="308"/>
      <c r="O186" s="308"/>
      <c r="P186" s="308"/>
      <c r="Q186" s="308"/>
      <c r="R186" s="308"/>
      <c r="S186" s="308"/>
      <c r="T186" s="308"/>
      <c r="U186" s="308"/>
      <c r="V186" s="308"/>
      <c r="W186" s="308"/>
      <c r="X186" s="308"/>
      <c r="Y186" s="308"/>
      <c r="Z186" s="308"/>
    </row>
    <row r="187" spans="1:34" s="313" customFormat="1" ht="14.5" customHeight="1">
      <c r="A187" s="237"/>
      <c r="B187" s="237"/>
      <c r="C187" s="309" t="s">
        <v>77</v>
      </c>
      <c r="D187" s="310">
        <f ca="1">Opbrengsten!$CD$12</f>
        <v>191</v>
      </c>
      <c r="E187" s="310">
        <f ca="1">Opbrengsten!$CD$13</f>
        <v>2247</v>
      </c>
      <c r="F187" s="310">
        <f ca="1">Opbrengsten!$CD$14</f>
        <v>1752</v>
      </c>
      <c r="G187" s="310">
        <f ca="1">Opbrengsten!$CD$15</f>
        <v>1741</v>
      </c>
      <c r="H187" s="310">
        <f ca="1">Opbrengsten!$CD$16</f>
        <v>1729</v>
      </c>
      <c r="I187" s="310">
        <f ca="1">Opbrengsten!$CD$17</f>
        <v>1719</v>
      </c>
      <c r="J187" s="310">
        <f ca="1">Opbrengsten!$CD$18</f>
        <v>1709</v>
      </c>
      <c r="K187" s="310">
        <f ca="1">Opbrengsten!$CD$19</f>
        <v>1700</v>
      </c>
      <c r="L187" s="310">
        <f ca="1">Opbrengsten!$CD$20</f>
        <v>1693</v>
      </c>
      <c r="M187" s="310">
        <f ca="1">Opbrengsten!$CD$21</f>
        <v>1687</v>
      </c>
      <c r="N187" s="310">
        <f ca="1">Opbrengsten!$CD$22</f>
        <v>1682</v>
      </c>
      <c r="O187" s="310">
        <f ca="1">Opbrengsten!$CD$23</f>
        <v>1680</v>
      </c>
      <c r="P187" s="310">
        <f ca="1">Opbrengsten!$CD$24</f>
        <v>1680</v>
      </c>
      <c r="Q187" s="310">
        <f ca="1">Opbrengsten!$CD$25</f>
        <v>1682</v>
      </c>
      <c r="R187" s="310">
        <f ca="1">Opbrengsten!$CD$26</f>
        <v>1688</v>
      </c>
      <c r="S187" s="310">
        <f ca="1">Opbrengsten!$CD$27</f>
        <v>1697</v>
      </c>
      <c r="T187" s="310">
        <f ca="1">Opbrengsten!$CD$28</f>
        <v>1710</v>
      </c>
      <c r="U187" s="310">
        <f ca="1">Opbrengsten!$CD$29</f>
        <v>1728</v>
      </c>
      <c r="V187" s="310">
        <f ca="1">Opbrengsten!$CD$30</f>
        <v>1751</v>
      </c>
      <c r="W187" s="310">
        <f ca="1">Opbrengsten!$CD$31</f>
        <v>1780</v>
      </c>
      <c r="X187" s="310">
        <f ca="1">Opbrengsten!$CD$32</f>
        <v>1661</v>
      </c>
      <c r="Y187" s="311"/>
      <c r="Z187" s="311"/>
      <c r="AA187" s="312"/>
      <c r="AB187" s="312"/>
      <c r="AD187" s="312"/>
      <c r="AE187" s="312"/>
      <c r="AF187" s="312"/>
      <c r="AG187" s="312"/>
      <c r="AH187" s="312"/>
    </row>
    <row r="188" spans="1:34" ht="14.5" customHeight="1">
      <c r="A188" s="224"/>
      <c r="B188" s="224"/>
      <c r="C188" s="314" t="s">
        <v>78</v>
      </c>
      <c r="D188" s="315">
        <f ca="1">SUM($D187:D187)</f>
        <v>191</v>
      </c>
      <c r="E188" s="315">
        <f ca="1">SUM($D187:E187)</f>
        <v>2438</v>
      </c>
      <c r="F188" s="315">
        <f ca="1">SUM($D187:F187)</f>
        <v>4190</v>
      </c>
      <c r="G188" s="315">
        <f ca="1">SUM($D187:G187)</f>
        <v>5931</v>
      </c>
      <c r="H188" s="315">
        <f ca="1">SUM($D187:H187)</f>
        <v>7660</v>
      </c>
      <c r="I188" s="315">
        <f ca="1">SUM($D187:I187)</f>
        <v>9379</v>
      </c>
      <c r="J188" s="315">
        <f ca="1">SUM($D187:J187)</f>
        <v>11088</v>
      </c>
      <c r="K188" s="315">
        <f ca="1">SUM($D187:K187)</f>
        <v>12788</v>
      </c>
      <c r="L188" s="315">
        <f ca="1">SUM($D187:L187)</f>
        <v>14481</v>
      </c>
      <c r="M188" s="315">
        <f ca="1">SUM($D187:M187)</f>
        <v>16168</v>
      </c>
      <c r="N188" s="315">
        <f ca="1">SUM($D187:N187)</f>
        <v>17850</v>
      </c>
      <c r="O188" s="315">
        <f ca="1">SUM($D187:O187)</f>
        <v>19530</v>
      </c>
      <c r="P188" s="315">
        <f ca="1">SUM($D187:P187)</f>
        <v>21210</v>
      </c>
      <c r="Q188" s="315">
        <f ca="1">SUM($D187:Q187)</f>
        <v>22892</v>
      </c>
      <c r="R188" s="315">
        <f ca="1">SUM($D187:R187)</f>
        <v>24580</v>
      </c>
      <c r="S188" s="315">
        <f ca="1">SUM($D187:S187)</f>
        <v>26277</v>
      </c>
      <c r="T188" s="315">
        <f ca="1">SUM($D187:T187)</f>
        <v>27987</v>
      </c>
      <c r="U188" s="315">
        <f ca="1">SUM($D187:U187)</f>
        <v>29715</v>
      </c>
      <c r="V188" s="315">
        <f ca="1">SUM($D187:V187)</f>
        <v>31466</v>
      </c>
      <c r="W188" s="315">
        <f ca="1">SUM($D187:W187)</f>
        <v>33246</v>
      </c>
      <c r="X188" s="315">
        <f ca="1">SUM($D187:X187)</f>
        <v>34907</v>
      </c>
      <c r="Y188" s="316"/>
      <c r="Z188" s="316"/>
    </row>
    <row r="189" spans="1:34" ht="6" customHeight="1">
      <c r="A189" s="224"/>
      <c r="B189" s="224"/>
      <c r="C189" s="309"/>
      <c r="D189" s="317"/>
      <c r="E189" s="317"/>
      <c r="F189" s="317"/>
      <c r="G189" s="317"/>
      <c r="H189" s="317"/>
      <c r="I189" s="317"/>
      <c r="J189" s="317"/>
      <c r="K189" s="317"/>
      <c r="L189" s="317"/>
      <c r="M189" s="317"/>
      <c r="N189" s="317"/>
      <c r="O189" s="317"/>
      <c r="P189" s="317"/>
      <c r="Q189" s="317"/>
      <c r="R189" s="317"/>
      <c r="S189" s="317"/>
      <c r="T189" s="317"/>
      <c r="U189" s="317"/>
      <c r="V189" s="317"/>
      <c r="W189" s="317"/>
      <c r="X189" s="317"/>
      <c r="Y189" s="311"/>
      <c r="Z189" s="311"/>
    </row>
    <row r="190" spans="1:34" s="313" customFormat="1" ht="14.5" customHeight="1">
      <c r="A190" s="237"/>
      <c r="B190" s="237"/>
      <c r="C190" s="309" t="s">
        <v>61</v>
      </c>
      <c r="D190" s="310">
        <f ca="1">Kosten!$X6</f>
        <v>12896.999999</v>
      </c>
      <c r="E190" s="310">
        <f ca="1">Kosten!$X7</f>
        <v>0</v>
      </c>
      <c r="F190" s="310">
        <f ca="1">Kosten!$X8</f>
        <v>0</v>
      </c>
      <c r="G190" s="310">
        <f ca="1">Kosten!$X9</f>
        <v>0</v>
      </c>
      <c r="H190" s="310">
        <f ca="1">Kosten!$X10</f>
        <v>0</v>
      </c>
      <c r="I190" s="310">
        <f ca="1">Kosten!$X11</f>
        <v>0</v>
      </c>
      <c r="J190" s="310">
        <f ca="1">Kosten!$X12</f>
        <v>0</v>
      </c>
      <c r="K190" s="310">
        <f ca="1">Kosten!$X13</f>
        <v>0</v>
      </c>
      <c r="L190" s="310">
        <f ca="1">Kosten!$X14</f>
        <v>0</v>
      </c>
      <c r="M190" s="310">
        <f ca="1">Kosten!$X15</f>
        <v>0</v>
      </c>
      <c r="N190" s="310">
        <f ca="1">Kosten!$X16</f>
        <v>0</v>
      </c>
      <c r="O190" s="310">
        <f ca="1">Kosten!$X17</f>
        <v>0</v>
      </c>
      <c r="P190" s="310">
        <f ca="1">Kosten!$X18</f>
        <v>0</v>
      </c>
      <c r="Q190" s="310">
        <f ca="1">Kosten!$X19</f>
        <v>0</v>
      </c>
      <c r="R190" s="310">
        <f ca="1">Kosten!$X20</f>
        <v>0</v>
      </c>
      <c r="S190" s="310">
        <f ca="1">Kosten!$X21</f>
        <v>0</v>
      </c>
      <c r="T190" s="310">
        <f ca="1">Kosten!$X22</f>
        <v>0</v>
      </c>
      <c r="U190" s="310">
        <f ca="1">Kosten!$X23</f>
        <v>0</v>
      </c>
      <c r="V190" s="310">
        <f ca="1">Kosten!$X24</f>
        <v>0</v>
      </c>
      <c r="W190" s="310">
        <f ca="1">Kosten!$X25</f>
        <v>0</v>
      </c>
      <c r="X190" s="310">
        <f ca="1">Kosten!$X26</f>
        <v>0</v>
      </c>
      <c r="Y190" s="311"/>
      <c r="Z190" s="311"/>
      <c r="AA190" s="312"/>
      <c r="AB190" s="312"/>
      <c r="AD190" s="312"/>
      <c r="AE190" s="312"/>
      <c r="AF190" s="312"/>
      <c r="AG190" s="312"/>
      <c r="AH190" s="312"/>
    </row>
    <row r="191" spans="1:34" ht="14.5" customHeight="1">
      <c r="A191" s="224"/>
      <c r="B191" s="224"/>
      <c r="C191" s="314" t="s">
        <v>78</v>
      </c>
      <c r="D191" s="315">
        <f ca="1">IF(D190&lt;&gt;"",SUM($D190:D190),"")</f>
        <v>12896.999999</v>
      </c>
      <c r="E191" s="315">
        <f ca="1">IF(E190&lt;&gt;"",SUM($D190:E190),"")</f>
        <v>12896.999999</v>
      </c>
      <c r="F191" s="315">
        <f ca="1">IF(F190&lt;&gt;"",SUM($D190:F190),"")</f>
        <v>12896.999999</v>
      </c>
      <c r="G191" s="315">
        <f ca="1">IF(G190&lt;&gt;"",SUM($D190:G190),"")</f>
        <v>12896.999999</v>
      </c>
      <c r="H191" s="315">
        <f ca="1">IF(H190&lt;&gt;"",SUM($D190:H190),"")</f>
        <v>12896.999999</v>
      </c>
      <c r="I191" s="315">
        <f ca="1">IF(I190&lt;&gt;"",SUM($D190:I190),"")</f>
        <v>12896.999999</v>
      </c>
      <c r="J191" s="315">
        <f ca="1">IF(J190&lt;&gt;"",SUM($D190:J190),"")</f>
        <v>12896.999999</v>
      </c>
      <c r="K191" s="315">
        <f ca="1">IF(K190&lt;&gt;"",SUM($D190:K190),"")</f>
        <v>12896.999999</v>
      </c>
      <c r="L191" s="315">
        <f ca="1">IF(L190&lt;&gt;"",SUM($D190:L190),"")</f>
        <v>12896.999999</v>
      </c>
      <c r="M191" s="315">
        <f ca="1">IF(M190&lt;&gt;"",SUM($D190:M190),"")</f>
        <v>12896.999999</v>
      </c>
      <c r="N191" s="315">
        <f ca="1">IF(N190&lt;&gt;"",SUM($D190:N190),"")</f>
        <v>12896.999999</v>
      </c>
      <c r="O191" s="315">
        <f ca="1">IF(O190&lt;&gt;"",SUM($D190:O190),"")</f>
        <v>12896.999999</v>
      </c>
      <c r="P191" s="315">
        <f ca="1">IF(P190&lt;&gt;"",SUM($D190:P190),"")</f>
        <v>12896.999999</v>
      </c>
      <c r="Q191" s="315">
        <f ca="1">IF(Q190&lt;&gt;"",SUM($D190:Q190),"")</f>
        <v>12896.999999</v>
      </c>
      <c r="R191" s="315">
        <f ca="1">IF(R190&lt;&gt;"",SUM($D190:R190),"")</f>
        <v>12896.999999</v>
      </c>
      <c r="S191" s="315">
        <f ca="1">IF(S190&lt;&gt;"",SUM($D190:S190),"")</f>
        <v>12896.999999</v>
      </c>
      <c r="T191" s="315">
        <f ca="1">IF(T190&lt;&gt;"",SUM($D190:T190),"")</f>
        <v>12896.999999</v>
      </c>
      <c r="U191" s="315">
        <f ca="1">IF(U190&lt;&gt;"",SUM($D190:U190),"")</f>
        <v>12896.999999</v>
      </c>
      <c r="V191" s="315">
        <f ca="1">IF(V190&lt;&gt;"",SUM($D190:V190),"")</f>
        <v>12896.999999</v>
      </c>
      <c r="W191" s="315">
        <f ca="1">IF(W190&lt;&gt;"",SUM($D190:W190),"")</f>
        <v>12896.999999</v>
      </c>
      <c r="X191" s="315">
        <f ca="1">IF(X190&lt;&gt;"",SUM($D190:X190),"")</f>
        <v>12896.999999</v>
      </c>
      <c r="Y191" s="316"/>
      <c r="Z191" s="316"/>
    </row>
    <row r="192" spans="1:34" ht="6" customHeight="1">
      <c r="A192" s="224"/>
      <c r="B192" s="224"/>
      <c r="C192" s="318"/>
      <c r="D192" s="319"/>
      <c r="E192" s="319"/>
      <c r="F192" s="319"/>
      <c r="G192" s="319"/>
      <c r="H192" s="319"/>
      <c r="I192" s="319"/>
      <c r="J192" s="319"/>
      <c r="K192" s="319"/>
      <c r="L192" s="319"/>
      <c r="M192" s="319"/>
      <c r="N192" s="319"/>
      <c r="O192" s="319"/>
      <c r="P192" s="319"/>
      <c r="Q192" s="319"/>
      <c r="R192" s="319"/>
      <c r="S192" s="319"/>
      <c r="T192" s="319"/>
      <c r="U192" s="319"/>
      <c r="V192" s="319"/>
      <c r="W192" s="319"/>
      <c r="X192" s="319"/>
      <c r="Y192" s="320"/>
      <c r="Z192" s="320"/>
    </row>
    <row r="193" spans="1:38" s="313" customFormat="1" ht="14.5" customHeight="1">
      <c r="A193" s="237"/>
      <c r="B193" s="237"/>
      <c r="C193" s="309" t="s">
        <v>20</v>
      </c>
      <c r="D193" s="310">
        <f t="shared" ref="D193:X193" ca="1" si="1">IF(ISERROR(D187-D190),"",D187-D190)</f>
        <v>-12705.999999</v>
      </c>
      <c r="E193" s="310">
        <f t="shared" ca="1" si="1"/>
        <v>2247</v>
      </c>
      <c r="F193" s="310">
        <f t="shared" ca="1" si="1"/>
        <v>1752</v>
      </c>
      <c r="G193" s="310">
        <f t="shared" ca="1" si="1"/>
        <v>1741</v>
      </c>
      <c r="H193" s="310">
        <f t="shared" ca="1" si="1"/>
        <v>1729</v>
      </c>
      <c r="I193" s="310">
        <f t="shared" ca="1" si="1"/>
        <v>1719</v>
      </c>
      <c r="J193" s="310">
        <f t="shared" ca="1" si="1"/>
        <v>1709</v>
      </c>
      <c r="K193" s="310">
        <f t="shared" ca="1" si="1"/>
        <v>1700</v>
      </c>
      <c r="L193" s="310">
        <f t="shared" ca="1" si="1"/>
        <v>1693</v>
      </c>
      <c r="M193" s="310">
        <f t="shared" ca="1" si="1"/>
        <v>1687</v>
      </c>
      <c r="N193" s="310">
        <f t="shared" ca="1" si="1"/>
        <v>1682</v>
      </c>
      <c r="O193" s="310">
        <f t="shared" ca="1" si="1"/>
        <v>1680</v>
      </c>
      <c r="P193" s="310">
        <f t="shared" ca="1" si="1"/>
        <v>1680</v>
      </c>
      <c r="Q193" s="310">
        <f t="shared" ca="1" si="1"/>
        <v>1682</v>
      </c>
      <c r="R193" s="310">
        <f t="shared" ca="1" si="1"/>
        <v>1688</v>
      </c>
      <c r="S193" s="310">
        <f t="shared" ca="1" si="1"/>
        <v>1697</v>
      </c>
      <c r="T193" s="310">
        <f t="shared" ca="1" si="1"/>
        <v>1710</v>
      </c>
      <c r="U193" s="310">
        <f t="shared" ca="1" si="1"/>
        <v>1728</v>
      </c>
      <c r="V193" s="310">
        <f t="shared" ca="1" si="1"/>
        <v>1751</v>
      </c>
      <c r="W193" s="310">
        <f t="shared" ca="1" si="1"/>
        <v>1780</v>
      </c>
      <c r="X193" s="310">
        <f t="shared" ca="1" si="1"/>
        <v>1661</v>
      </c>
      <c r="Y193" s="311"/>
      <c r="Z193" s="311"/>
      <c r="AA193" s="312"/>
      <c r="AB193" s="312"/>
      <c r="AD193" s="312"/>
      <c r="AE193" s="312"/>
      <c r="AF193" s="312"/>
      <c r="AG193" s="312"/>
      <c r="AH193" s="312"/>
    </row>
    <row r="194" spans="1:38" ht="14.5" customHeight="1">
      <c r="A194" s="224"/>
      <c r="B194" s="224"/>
      <c r="C194" s="314" t="s">
        <v>78</v>
      </c>
      <c r="D194" s="315">
        <f ca="1">SUM($D193:D193)</f>
        <v>-12705.999999</v>
      </c>
      <c r="E194" s="315">
        <f ca="1">SUM($D193:E193)</f>
        <v>-10458.999999</v>
      </c>
      <c r="F194" s="315">
        <f ca="1">SUM($D193:F193)</f>
        <v>-8706.9999989999997</v>
      </c>
      <c r="G194" s="315">
        <f ca="1">SUM($D193:G193)</f>
        <v>-6965.9999989999997</v>
      </c>
      <c r="H194" s="315">
        <f ca="1">SUM($D193:H193)</f>
        <v>-5236.9999989999997</v>
      </c>
      <c r="I194" s="315">
        <f ca="1">SUM($D193:I193)</f>
        <v>-3517.9999989999997</v>
      </c>
      <c r="J194" s="315">
        <f ca="1">SUM($D193:J193)</f>
        <v>-1808.9999989999997</v>
      </c>
      <c r="K194" s="315">
        <f ca="1">SUM($D193:K193)</f>
        <v>-108.99999899999966</v>
      </c>
      <c r="L194" s="315">
        <f ca="1">SUM($D193:L193)</f>
        <v>1584.0000010000003</v>
      </c>
      <c r="M194" s="315">
        <f ca="1">SUM($D193:M193)</f>
        <v>3271.0000010000003</v>
      </c>
      <c r="N194" s="315">
        <f ca="1">SUM($D193:N193)</f>
        <v>4953.0000010000003</v>
      </c>
      <c r="O194" s="315">
        <f ca="1">SUM($D193:O193)</f>
        <v>6633.0000010000003</v>
      </c>
      <c r="P194" s="315">
        <f ca="1">SUM($D193:P193)</f>
        <v>8313.0000010000003</v>
      </c>
      <c r="Q194" s="315">
        <f ca="1">SUM($D193:Q193)</f>
        <v>9995.0000010000003</v>
      </c>
      <c r="R194" s="315">
        <f ca="1">SUM($D193:R193)</f>
        <v>11683.000001</v>
      </c>
      <c r="S194" s="315">
        <f ca="1">SUM($D193:S193)</f>
        <v>13380.000001</v>
      </c>
      <c r="T194" s="315">
        <f ca="1">SUM($D193:T193)</f>
        <v>15090.000001</v>
      </c>
      <c r="U194" s="315">
        <f ca="1">SUM($D193:U193)</f>
        <v>16818.000001</v>
      </c>
      <c r="V194" s="315">
        <f ca="1">SUM($D193:V193)</f>
        <v>18569.000001</v>
      </c>
      <c r="W194" s="315">
        <f ca="1">SUM($D193:W193)</f>
        <v>20349.000001</v>
      </c>
      <c r="X194" s="315">
        <f ca="1">SUM($D193:X193)</f>
        <v>22010.000001</v>
      </c>
      <c r="Y194" s="316"/>
      <c r="Z194" s="316"/>
    </row>
    <row r="195" spans="1:38" s="313" customFormat="1" ht="11" customHeight="1">
      <c r="A195" s="237"/>
      <c r="B195" s="237"/>
      <c r="C195" s="321"/>
      <c r="D195" s="322"/>
      <c r="E195" s="322"/>
      <c r="F195" s="322"/>
      <c r="G195" s="322"/>
      <c r="H195" s="322"/>
      <c r="I195" s="322"/>
      <c r="J195" s="322"/>
      <c r="K195" s="322"/>
      <c r="L195" s="322"/>
      <c r="M195" s="322"/>
      <c r="N195" s="322"/>
      <c r="O195" s="322"/>
      <c r="P195" s="322"/>
      <c r="Q195" s="322"/>
      <c r="R195" s="322"/>
      <c r="S195" s="322"/>
      <c r="T195" s="322"/>
      <c r="U195" s="322"/>
      <c r="V195" s="322"/>
      <c r="W195" s="322"/>
      <c r="X195" s="322"/>
      <c r="Y195" s="322"/>
      <c r="Z195" s="322"/>
    </row>
    <row r="196" spans="1:38" ht="11" customHeight="1">
      <c r="A196" s="224"/>
      <c r="B196" s="224"/>
      <c r="C196" s="323"/>
      <c r="D196" s="322"/>
      <c r="E196" s="322"/>
      <c r="F196" s="322"/>
      <c r="G196" s="322"/>
      <c r="H196" s="322"/>
      <c r="I196" s="322"/>
      <c r="J196" s="322"/>
      <c r="K196" s="322"/>
      <c r="L196" s="322"/>
      <c r="M196" s="322"/>
      <c r="N196" s="322"/>
      <c r="O196" s="322"/>
      <c r="P196" s="322"/>
      <c r="Q196" s="322"/>
      <c r="R196" s="322"/>
      <c r="S196" s="322"/>
      <c r="T196" s="322"/>
      <c r="U196" s="322"/>
      <c r="V196" s="322"/>
      <c r="W196" s="322"/>
      <c r="X196" s="322"/>
      <c r="Y196" s="322"/>
      <c r="Z196" s="322"/>
      <c r="AA196" s="228"/>
      <c r="AB196" s="228"/>
      <c r="AD196" s="228"/>
      <c r="AE196" s="228"/>
      <c r="AF196" s="228"/>
      <c r="AG196" s="228"/>
      <c r="AH196" s="228"/>
    </row>
    <row r="197" spans="1:38" ht="41" customHeight="1">
      <c r="A197" s="224"/>
      <c r="B197" s="224"/>
      <c r="C197" s="224"/>
      <c r="D197" s="224"/>
      <c r="E197" s="224"/>
      <c r="F197" s="224"/>
      <c r="G197" s="224"/>
      <c r="H197" s="224"/>
      <c r="I197" s="224"/>
      <c r="J197" s="224"/>
      <c r="K197" s="224"/>
      <c r="L197" s="224"/>
      <c r="M197" s="230"/>
      <c r="N197" s="230"/>
      <c r="O197" s="230"/>
      <c r="P197" s="230"/>
      <c r="Q197" s="230"/>
      <c r="R197" s="230"/>
      <c r="S197" s="230"/>
      <c r="T197" s="274"/>
      <c r="U197" s="274"/>
      <c r="V197" s="224"/>
      <c r="W197" s="224"/>
      <c r="X197" s="224"/>
      <c r="Y197" s="224"/>
      <c r="Z197" s="224"/>
      <c r="AA197" s="228"/>
      <c r="AB197" s="228"/>
      <c r="AD197" s="228"/>
      <c r="AE197" s="228"/>
      <c r="AF197" s="228"/>
      <c r="AG197" s="228"/>
      <c r="AH197" s="228"/>
    </row>
    <row r="198" spans="1:38">
      <c r="A198" s="224"/>
      <c r="B198" s="224"/>
      <c r="C198" s="224"/>
      <c r="D198" s="224"/>
      <c r="E198" s="224"/>
      <c r="F198" s="224"/>
      <c r="G198" s="224"/>
      <c r="H198" s="224"/>
      <c r="I198" s="224"/>
      <c r="J198" s="224"/>
      <c r="K198" s="224"/>
      <c r="L198" s="251"/>
      <c r="M198" s="237" t="s">
        <v>77</v>
      </c>
      <c r="N198" s="224"/>
      <c r="O198" s="224"/>
      <c r="P198" s="224"/>
      <c r="Q198" s="224"/>
      <c r="R198" s="458">
        <f ca="1">LARGE(D188:Z188,1)</f>
        <v>34907</v>
      </c>
      <c r="S198" s="458"/>
      <c r="T198" s="458"/>
      <c r="U198" s="458"/>
      <c r="V198" s="458"/>
      <c r="W198" s="224"/>
      <c r="X198" s="224"/>
      <c r="Y198" s="224"/>
      <c r="Z198" s="224"/>
    </row>
    <row r="199" spans="1:38" ht="6" customHeight="1">
      <c r="A199" s="224"/>
      <c r="B199" s="224"/>
      <c r="C199" s="224"/>
      <c r="D199" s="224"/>
      <c r="E199" s="224"/>
      <c r="F199" s="224"/>
      <c r="G199" s="224"/>
      <c r="H199" s="224"/>
      <c r="I199" s="224"/>
      <c r="J199" s="224"/>
      <c r="K199" s="224"/>
      <c r="L199" s="224"/>
      <c r="M199" s="237"/>
      <c r="N199" s="224"/>
      <c r="O199" s="224"/>
      <c r="P199" s="224"/>
      <c r="Q199" s="224"/>
      <c r="R199" s="325"/>
      <c r="S199" s="325"/>
      <c r="T199" s="324"/>
      <c r="U199" s="324"/>
      <c r="V199" s="325"/>
      <c r="W199" s="224"/>
      <c r="X199" s="224"/>
      <c r="Y199" s="224"/>
      <c r="Z199" s="224"/>
    </row>
    <row r="200" spans="1:38" ht="17" customHeight="1">
      <c r="A200" s="224"/>
      <c r="B200" s="224"/>
      <c r="C200" s="224"/>
      <c r="D200" s="224"/>
      <c r="E200" s="224"/>
      <c r="F200" s="224"/>
      <c r="G200" s="224"/>
      <c r="H200" s="224"/>
      <c r="I200" s="224"/>
      <c r="J200" s="224"/>
      <c r="K200" s="224"/>
      <c r="L200" s="224"/>
      <c r="M200" s="237" t="s">
        <v>555</v>
      </c>
      <c r="N200" s="224"/>
      <c r="O200" s="224"/>
      <c r="P200" s="224"/>
      <c r="Q200" s="224"/>
      <c r="R200" s="224"/>
      <c r="S200" s="326"/>
      <c r="T200" s="224"/>
      <c r="U200" s="458">
        <f ca="1">LARGE(D191:Z191,1)</f>
        <v>12896.999999</v>
      </c>
      <c r="V200" s="458"/>
      <c r="W200" s="224"/>
      <c r="X200" s="224"/>
      <c r="Y200" s="224"/>
      <c r="Z200" s="224"/>
    </row>
    <row r="201" spans="1:38" ht="6" customHeight="1">
      <c r="A201" s="224"/>
      <c r="B201" s="224"/>
      <c r="C201" s="224"/>
      <c r="D201" s="224"/>
      <c r="E201" s="224"/>
      <c r="F201" s="224"/>
      <c r="G201" s="224"/>
      <c r="H201" s="224"/>
      <c r="I201" s="224"/>
      <c r="J201" s="224"/>
      <c r="K201" s="224"/>
      <c r="L201" s="224"/>
      <c r="M201" s="224"/>
      <c r="N201" s="327"/>
      <c r="O201" s="237"/>
      <c r="P201" s="224"/>
      <c r="Q201" s="224"/>
      <c r="R201" s="230"/>
      <c r="S201" s="230"/>
      <c r="T201" s="298"/>
      <c r="U201" s="298"/>
      <c r="V201" s="230"/>
      <c r="W201" s="224"/>
      <c r="X201" s="224"/>
      <c r="Y201" s="224"/>
      <c r="Z201" s="224"/>
    </row>
    <row r="202" spans="1:38" s="303" customFormat="1" ht="31" customHeight="1">
      <c r="A202" s="328"/>
      <c r="B202" s="328"/>
      <c r="C202" s="328"/>
      <c r="D202" s="328"/>
      <c r="E202" s="328"/>
      <c r="F202" s="328"/>
      <c r="G202" s="328"/>
      <c r="H202" s="328"/>
      <c r="I202" s="328"/>
      <c r="J202" s="328"/>
      <c r="K202" s="328"/>
      <c r="L202" s="371"/>
      <c r="M202" s="372" t="s">
        <v>20</v>
      </c>
      <c r="N202" s="371"/>
      <c r="O202" s="371"/>
      <c r="P202" s="371"/>
      <c r="Q202" s="371"/>
      <c r="R202" s="468">
        <f ca="1">R198-U200</f>
        <v>22010.000001</v>
      </c>
      <c r="S202" s="468"/>
      <c r="T202" s="468"/>
      <c r="U202" s="468"/>
      <c r="V202" s="468"/>
      <c r="W202" s="371"/>
      <c r="X202" s="328"/>
      <c r="Y202" s="328"/>
      <c r="Z202" s="328"/>
      <c r="AA202" s="302"/>
      <c r="AB202" s="302"/>
      <c r="AD202" s="302"/>
      <c r="AE202" s="302"/>
      <c r="AF202" s="302"/>
      <c r="AG202" s="302"/>
      <c r="AH202" s="302"/>
    </row>
    <row r="203" spans="1:38">
      <c r="A203" s="224"/>
      <c r="B203" s="224"/>
      <c r="C203" s="224"/>
      <c r="D203" s="224"/>
      <c r="E203" s="224"/>
      <c r="F203" s="224"/>
      <c r="G203" s="224"/>
      <c r="H203" s="224"/>
      <c r="I203" s="224"/>
      <c r="J203" s="224"/>
      <c r="K203" s="224"/>
      <c r="L203" s="224"/>
      <c r="M203" s="224"/>
      <c r="N203" s="329"/>
      <c r="O203" s="329"/>
      <c r="P203" s="329"/>
      <c r="Q203" s="329"/>
      <c r="R203" s="456"/>
      <c r="S203" s="456"/>
      <c r="T203" s="456"/>
      <c r="U203" s="456"/>
      <c r="V203" s="456"/>
      <c r="W203" s="329"/>
      <c r="X203" s="329"/>
      <c r="Y203" s="329"/>
      <c r="Z203" s="329"/>
    </row>
    <row r="204" spans="1:38" s="239" customFormat="1" ht="24" customHeight="1">
      <c r="A204" s="226"/>
      <c r="B204" s="226"/>
      <c r="C204" s="226"/>
      <c r="D204" s="226"/>
      <c r="E204" s="226"/>
      <c r="F204" s="226"/>
      <c r="G204" s="226"/>
      <c r="H204" s="226"/>
      <c r="I204" s="226"/>
      <c r="J204" s="226"/>
      <c r="K204" s="226"/>
      <c r="L204" s="226"/>
      <c r="M204" s="226"/>
      <c r="N204" s="225"/>
      <c r="O204" s="225"/>
      <c r="P204" s="225"/>
      <c r="Q204" s="226"/>
      <c r="R204" s="330"/>
      <c r="S204" s="331" t="s">
        <v>155</v>
      </c>
      <c r="T204" s="226"/>
      <c r="U204" s="332"/>
      <c r="V204" s="332"/>
      <c r="W204" s="226"/>
      <c r="X204" s="226"/>
      <c r="Y204" s="226"/>
      <c r="Z204" s="226"/>
      <c r="AJ204" s="228"/>
      <c r="AK204" s="228"/>
      <c r="AL204" s="228"/>
    </row>
    <row r="205" spans="1:38" s="239" customFormat="1" ht="16" customHeight="1">
      <c r="A205" s="226"/>
      <c r="B205" s="226"/>
      <c r="C205" s="226"/>
      <c r="D205" s="226"/>
      <c r="E205" s="226"/>
      <c r="F205" s="226"/>
      <c r="G205" s="226"/>
      <c r="H205" s="226"/>
      <c r="I205" s="226"/>
      <c r="J205" s="226"/>
      <c r="K205" s="226"/>
      <c r="L205" s="226"/>
      <c r="M205" s="226"/>
      <c r="N205" s="225"/>
      <c r="O205" s="225"/>
      <c r="P205" s="225"/>
      <c r="Q205" s="226"/>
      <c r="R205" s="226"/>
      <c r="S205" s="333" t="s">
        <v>77</v>
      </c>
      <c r="T205" s="226"/>
      <c r="U205" s="299"/>
      <c r="V205" s="334"/>
      <c r="W205" s="226"/>
      <c r="X205" s="226"/>
      <c r="Y205" s="226"/>
      <c r="Z205" s="226"/>
      <c r="AJ205" s="228"/>
      <c r="AK205" s="228"/>
      <c r="AL205" s="228"/>
    </row>
    <row r="206" spans="1:38" s="239" customFormat="1" ht="16" customHeight="1">
      <c r="A206" s="226"/>
      <c r="B206" s="226"/>
      <c r="C206" s="226"/>
      <c r="D206" s="226"/>
      <c r="E206" s="226"/>
      <c r="F206" s="226"/>
      <c r="G206" s="226"/>
      <c r="H206" s="226"/>
      <c r="I206" s="226"/>
      <c r="J206" s="226"/>
      <c r="K206" s="226"/>
      <c r="L206" s="226"/>
      <c r="M206" s="366" t="s">
        <v>556</v>
      </c>
      <c r="N206" s="366"/>
      <c r="O206" s="366"/>
      <c r="P206" s="366"/>
      <c r="Q206" s="352"/>
      <c r="R206" s="352"/>
      <c r="S206" s="367"/>
      <c r="T206" s="352"/>
      <c r="U206" s="457">
        <f ca="1">R198/20</f>
        <v>1745.35</v>
      </c>
      <c r="V206" s="457"/>
      <c r="W206" s="352"/>
      <c r="X206" s="226"/>
      <c r="Y206" s="226"/>
      <c r="Z206" s="226"/>
      <c r="AJ206" s="228"/>
      <c r="AK206" s="228"/>
      <c r="AL206" s="228"/>
    </row>
    <row r="207" spans="1:38" ht="16" customHeight="1">
      <c r="A207" s="224"/>
      <c r="B207" s="224"/>
      <c r="C207" s="224"/>
      <c r="D207" s="224"/>
      <c r="E207" s="224"/>
      <c r="F207" s="224"/>
      <c r="G207" s="224"/>
      <c r="H207" s="224"/>
      <c r="I207" s="224"/>
      <c r="J207" s="224"/>
      <c r="K207" s="224"/>
      <c r="L207" s="224"/>
      <c r="M207" s="366" t="s">
        <v>567</v>
      </c>
      <c r="N207" s="366"/>
      <c r="O207" s="366"/>
      <c r="P207" s="366"/>
      <c r="Q207" s="352"/>
      <c r="R207" s="352"/>
      <c r="S207" s="367"/>
      <c r="T207" s="352"/>
      <c r="U207" s="368"/>
      <c r="V207" s="368">
        <f ca="1">R198/240</f>
        <v>145.44583333333333</v>
      </c>
      <c r="W207" s="352"/>
      <c r="X207" s="329"/>
      <c r="Y207" s="329"/>
      <c r="Z207" s="329"/>
    </row>
    <row r="208" spans="1:38">
      <c r="A208" s="224"/>
      <c r="B208" s="224"/>
      <c r="C208" s="224"/>
      <c r="D208" s="224"/>
      <c r="E208" s="224"/>
      <c r="F208" s="224"/>
      <c r="G208" s="224"/>
      <c r="H208" s="224"/>
      <c r="I208" s="224"/>
      <c r="J208" s="224"/>
      <c r="K208" s="224"/>
      <c r="L208" s="224"/>
      <c r="M208" s="366" t="s">
        <v>184</v>
      </c>
      <c r="N208" s="352"/>
      <c r="O208" s="352"/>
      <c r="P208" s="352"/>
      <c r="Q208" s="352"/>
      <c r="R208" s="352"/>
      <c r="S208" s="369"/>
      <c r="T208" s="369"/>
      <c r="U208" s="369"/>
      <c r="V208" s="370">
        <f ca="1">R198/U200</f>
        <v>2.7065984339541442</v>
      </c>
      <c r="W208" s="367" t="s">
        <v>142</v>
      </c>
      <c r="X208" s="335"/>
      <c r="Y208" s="335"/>
      <c r="Z208" s="335"/>
    </row>
    <row r="209" spans="1:26">
      <c r="A209" s="224"/>
      <c r="B209" s="224"/>
      <c r="C209" s="224"/>
      <c r="D209" s="224"/>
      <c r="E209" s="224"/>
      <c r="F209" s="224"/>
      <c r="G209" s="224"/>
      <c r="H209" s="224"/>
      <c r="I209" s="224"/>
      <c r="J209" s="224"/>
      <c r="K209" s="224"/>
      <c r="L209" s="224"/>
      <c r="M209" s="230"/>
      <c r="N209" s="230"/>
      <c r="O209" s="230"/>
      <c r="P209" s="230"/>
      <c r="Q209" s="230"/>
      <c r="R209" s="298"/>
      <c r="S209" s="230"/>
      <c r="T209" s="225"/>
      <c r="U209" s="225"/>
      <c r="V209" s="226"/>
      <c r="W209" s="226"/>
      <c r="X209" s="226"/>
      <c r="Y209" s="226"/>
      <c r="Z209" s="226"/>
    </row>
    <row r="210" spans="1:26">
      <c r="A210" s="252"/>
      <c r="B210" s="252"/>
      <c r="C210" s="252"/>
      <c r="D210" s="252"/>
      <c r="E210" s="252"/>
      <c r="F210" s="252"/>
      <c r="G210" s="252"/>
      <c r="H210" s="252"/>
      <c r="I210" s="252"/>
      <c r="J210" s="252"/>
      <c r="K210" s="252"/>
      <c r="L210" s="252"/>
      <c r="M210" s="252"/>
      <c r="N210" s="259"/>
      <c r="O210" s="252"/>
      <c r="P210" s="252"/>
      <c r="Q210" s="253"/>
      <c r="R210" s="253"/>
      <c r="S210" s="253"/>
      <c r="T210" s="253"/>
      <c r="U210" s="253"/>
      <c r="V210" s="257"/>
      <c r="W210" s="257"/>
      <c r="X210" s="257"/>
      <c r="Y210" s="257"/>
      <c r="Z210" s="257"/>
    </row>
    <row r="211" spans="1:26">
      <c r="A211" s="252"/>
      <c r="B211" s="252"/>
      <c r="C211" s="262" t="s">
        <v>134</v>
      </c>
      <c r="D211" s="252"/>
      <c r="E211" s="252"/>
      <c r="F211" s="252"/>
      <c r="G211" s="252"/>
      <c r="H211" s="252"/>
      <c r="I211" s="252"/>
      <c r="J211" s="252"/>
      <c r="K211" s="252"/>
      <c r="L211" s="252"/>
      <c r="M211" s="252"/>
      <c r="N211" s="259"/>
      <c r="O211" s="252"/>
      <c r="P211" s="252"/>
      <c r="Q211" s="253"/>
      <c r="R211" s="253"/>
      <c r="S211" s="253"/>
      <c r="T211" s="253"/>
      <c r="U211" s="253"/>
      <c r="V211" s="257"/>
      <c r="W211" s="257"/>
      <c r="X211" s="257"/>
      <c r="Y211" s="257"/>
      <c r="Z211" s="257"/>
    </row>
    <row r="212" spans="1:26" ht="6" customHeight="1">
      <c r="A212" s="252"/>
      <c r="B212" s="252"/>
      <c r="C212" s="336"/>
      <c r="D212" s="337"/>
      <c r="E212" s="337"/>
      <c r="F212" s="337"/>
      <c r="G212" s="337"/>
      <c r="H212" s="337"/>
      <c r="I212" s="337"/>
      <c r="J212" s="337"/>
      <c r="K212" s="337"/>
      <c r="L212" s="337"/>
      <c r="M212" s="337"/>
      <c r="N212" s="337"/>
      <c r="O212" s="337"/>
      <c r="P212" s="337"/>
      <c r="Q212" s="337"/>
      <c r="R212" s="337"/>
      <c r="S212" s="337"/>
      <c r="T212" s="337"/>
      <c r="U212" s="337"/>
      <c r="V212" s="337"/>
      <c r="W212" s="337"/>
      <c r="X212" s="337"/>
      <c r="Y212" s="337"/>
      <c r="Z212" s="337"/>
    </row>
    <row r="213" spans="1:26" ht="52" customHeight="1">
      <c r="A213" s="252"/>
      <c r="B213" s="252"/>
      <c r="C213" s="466" t="s">
        <v>113</v>
      </c>
      <c r="D213" s="466"/>
      <c r="E213" s="466"/>
      <c r="F213" s="466"/>
      <c r="G213" s="466"/>
      <c r="H213" s="466"/>
      <c r="I213" s="466"/>
      <c r="J213" s="466"/>
      <c r="K213" s="466"/>
      <c r="L213" s="466"/>
      <c r="M213" s="466"/>
      <c r="N213" s="466"/>
      <c r="O213" s="466"/>
      <c r="P213" s="466"/>
      <c r="Q213" s="466"/>
      <c r="R213" s="466"/>
      <c r="S213" s="466"/>
      <c r="T213" s="466"/>
      <c r="U213" s="466"/>
      <c r="V213" s="466"/>
      <c r="W213" s="466"/>
      <c r="X213" s="338"/>
      <c r="Y213" s="338"/>
      <c r="Z213" s="252"/>
    </row>
    <row r="214" spans="1:26">
      <c r="A214" s="252"/>
      <c r="B214" s="252"/>
      <c r="C214" s="252"/>
      <c r="D214" s="252"/>
      <c r="E214" s="252"/>
      <c r="F214" s="252"/>
      <c r="G214" s="252"/>
      <c r="H214" s="252"/>
      <c r="I214" s="252"/>
      <c r="J214" s="252"/>
      <c r="K214" s="252"/>
      <c r="L214" s="252"/>
      <c r="M214" s="252"/>
      <c r="N214" s="259"/>
      <c r="O214" s="252"/>
      <c r="P214" s="252"/>
      <c r="Q214" s="253"/>
      <c r="R214" s="253"/>
      <c r="S214" s="253"/>
      <c r="T214" s="253"/>
      <c r="U214" s="253"/>
      <c r="V214" s="257"/>
      <c r="W214" s="257"/>
      <c r="X214" s="257"/>
      <c r="Y214" s="257"/>
      <c r="Z214" s="257"/>
    </row>
    <row r="216" spans="1:26">
      <c r="N216" s="228"/>
    </row>
    <row r="217" spans="1:26">
      <c r="N217" s="228"/>
    </row>
    <row r="218" spans="1:26">
      <c r="N218" s="228"/>
    </row>
    <row r="219" spans="1:26">
      <c r="N219" s="228"/>
    </row>
    <row r="220" spans="1:26">
      <c r="N220" s="228"/>
    </row>
  </sheetData>
  <sheetProtection selectLockedCells="1"/>
  <mergeCells count="120">
    <mergeCell ref="G147:R147"/>
    <mergeCell ref="G148:R148"/>
    <mergeCell ref="G149:R149"/>
    <mergeCell ref="G150:R150"/>
    <mergeCell ref="R112:T112"/>
    <mergeCell ref="U110:X110"/>
    <mergeCell ref="AC83:AC84"/>
    <mergeCell ref="AI83:AI84"/>
    <mergeCell ref="G142:P142"/>
    <mergeCell ref="S142:T142"/>
    <mergeCell ref="U142:V142"/>
    <mergeCell ref="U104:V104"/>
    <mergeCell ref="R118:T118"/>
    <mergeCell ref="V114:X114"/>
    <mergeCell ref="V116:X116"/>
    <mergeCell ref="R98:T98"/>
    <mergeCell ref="R96:T96"/>
    <mergeCell ref="R102:T102"/>
    <mergeCell ref="U102:W102"/>
    <mergeCell ref="V86:X86"/>
    <mergeCell ref="V88:X88"/>
    <mergeCell ref="V90:X90"/>
    <mergeCell ref="R129:T129"/>
    <mergeCell ref="U129:V129"/>
    <mergeCell ref="R141:T141"/>
    <mergeCell ref="R137:T137"/>
    <mergeCell ref="P114:T114"/>
    <mergeCell ref="C213:W213"/>
    <mergeCell ref="R104:T104"/>
    <mergeCell ref="R160:T160"/>
    <mergeCell ref="R198:V198"/>
    <mergeCell ref="R92:T92"/>
    <mergeCell ref="R202:V202"/>
    <mergeCell ref="U131:V131"/>
    <mergeCell ref="S178:T178"/>
    <mergeCell ref="S144:T144"/>
    <mergeCell ref="S176:T176"/>
    <mergeCell ref="U176:V176"/>
    <mergeCell ref="U178:V178"/>
    <mergeCell ref="R169:T169"/>
    <mergeCell ref="U160:V160"/>
    <mergeCell ref="U165:V165"/>
    <mergeCell ref="U144:V144"/>
    <mergeCell ref="U133:V133"/>
    <mergeCell ref="R131:T131"/>
    <mergeCell ref="R133:T133"/>
    <mergeCell ref="S145:T145"/>
    <mergeCell ref="U145:V145"/>
    <mergeCell ref="R203:V203"/>
    <mergeCell ref="U206:V206"/>
    <mergeCell ref="U200:V200"/>
    <mergeCell ref="C6:O6"/>
    <mergeCell ref="R125:T125"/>
    <mergeCell ref="C67:W67"/>
    <mergeCell ref="H16:K16"/>
    <mergeCell ref="R58:T58"/>
    <mergeCell ref="R60:T60"/>
    <mergeCell ref="R62:T62"/>
    <mergeCell ref="U71:V71"/>
    <mergeCell ref="H12:I12"/>
    <mergeCell ref="H8:P8"/>
    <mergeCell ref="H10:P10"/>
    <mergeCell ref="K12:P12"/>
    <mergeCell ref="R30:T30"/>
    <mergeCell ref="R32:T32"/>
    <mergeCell ref="R25:T25"/>
    <mergeCell ref="R23:T23"/>
    <mergeCell ref="H14:P14"/>
    <mergeCell ref="R110:T110"/>
    <mergeCell ref="C19:O19"/>
    <mergeCell ref="R94:T94"/>
    <mergeCell ref="U98:W98"/>
    <mergeCell ref="P116:T116"/>
    <mergeCell ref="R100:T100"/>
    <mergeCell ref="R63:T63"/>
    <mergeCell ref="AC29:AE30"/>
    <mergeCell ref="R38:T38"/>
    <mergeCell ref="R56:T56"/>
    <mergeCell ref="R34:T34"/>
    <mergeCell ref="R40:T40"/>
    <mergeCell ref="R36:T36"/>
    <mergeCell ref="S45:T45"/>
    <mergeCell ref="S47:T47"/>
    <mergeCell ref="S49:T49"/>
    <mergeCell ref="S51:T51"/>
    <mergeCell ref="R77:T77"/>
    <mergeCell ref="R71:T71"/>
    <mergeCell ref="AB83:AB91"/>
    <mergeCell ref="R73:T73"/>
    <mergeCell ref="R75:T75"/>
    <mergeCell ref="U77:X77"/>
    <mergeCell ref="R84:T84"/>
    <mergeCell ref="AB29:AB30"/>
    <mergeCell ref="Q86:T86"/>
    <mergeCell ref="Q88:T88"/>
    <mergeCell ref="M90:T90"/>
    <mergeCell ref="R158:T158"/>
    <mergeCell ref="U158:V158"/>
    <mergeCell ref="R127:T127"/>
    <mergeCell ref="R153:T153"/>
    <mergeCell ref="R167:T167"/>
    <mergeCell ref="R165:T165"/>
    <mergeCell ref="C182:W182"/>
    <mergeCell ref="U171:V171"/>
    <mergeCell ref="U169:V169"/>
    <mergeCell ref="U167:V167"/>
    <mergeCell ref="R171:T171"/>
    <mergeCell ref="S147:T147"/>
    <mergeCell ref="U147:V147"/>
    <mergeCell ref="G141:Q141"/>
    <mergeCell ref="U141:V141"/>
    <mergeCell ref="G144:R144"/>
    <mergeCell ref="S143:T143"/>
    <mergeCell ref="U143:V143"/>
    <mergeCell ref="R139:T139"/>
    <mergeCell ref="S150:T150"/>
    <mergeCell ref="U150:V150"/>
    <mergeCell ref="G143:P143"/>
    <mergeCell ref="G145:R145"/>
    <mergeCell ref="G146:R146"/>
  </mergeCells>
  <conditionalFormatting sqref="D195:Z195">
    <cfRule type="cellIs" dxfId="27" priority="2" operator="equal">
      <formula>0</formula>
    </cfRule>
    <cfRule type="cellIs" dxfId="26" priority="3" operator="lessThan">
      <formula>0</formula>
    </cfRule>
  </conditionalFormatting>
  <dataValidations count="5">
    <dataValidation type="whole" allowBlank="1" showInputMessage="1" showErrorMessage="1" error="De maximale looptijd van de financiering is 20 jaar." sqref="R167:T167" xr:uid="{7CB20029-65DA-444F-B539-D8BDD051C4A2}">
      <formula1>0</formula1>
      <formula2>20</formula2>
    </dataValidation>
    <dataValidation type="decimal" allowBlank="1" showInputMessage="1" showErrorMessage="1" error="Dit rentepercentage valt niet binnen de bandbreedte." sqref="R169:T169" xr:uid="{2F872558-D8F7-EC42-BE66-8EDB40E1BF03}">
      <formula1>0</formula1>
      <formula2>0.07</formula2>
    </dataValidation>
    <dataValidation type="decimal" allowBlank="1" showInputMessage="1" showErrorMessage="1" error="Dit aantal cycli valt niet binnen de realistische bandbreedte." sqref="S112:T112 U114 U116" xr:uid="{E816107F-F276-DB47-8172-8EB3BBB7822E}">
      <formula1>1</formula1>
      <formula2>1.8</formula2>
    </dataValidation>
    <dataValidation type="whole" allowBlank="1" showInputMessage="1" showErrorMessage="1" error="Het financieringsbedrag mag niet hoger zijn dan het aankoopbedrag." sqref="R165:T165" xr:uid="{7B100921-E8B0-BA41-9523-1028498D41B4}">
      <formula1>0</formula1>
      <formula2>T134</formula2>
    </dataValidation>
    <dataValidation type="list" allowBlank="1" showInputMessage="1" showErrorMessage="1" sqref="R84" xr:uid="{AC4BEAC4-3438-4DA0-B19D-36D871BD86B0}">
      <formula1>fase1</formula1>
    </dataValidation>
  </dataValidations>
  <pageMargins left="0.70866141732283472" right="0.70866141732283472" top="0.74803149606299213" bottom="0.74803149606299213" header="0.31496062992125984" footer="0.31496062992125984"/>
  <pageSetup paperSize="9" scale="54" fitToHeight="0" orientation="portrait" r:id="rId1"/>
  <rowBreaks count="3" manualBreakCount="3">
    <brk id="65" max="16383" man="1"/>
    <brk id="119" max="16383" man="1"/>
    <brk id="180" max="16383" man="1"/>
  </rowBreaks>
  <drawing r:id="rId2"/>
  <extLst>
    <ext xmlns:x14="http://schemas.microsoft.com/office/spreadsheetml/2009/9/main" uri="{CCE6A557-97BC-4b89-ADB6-D9C93CAAB3DF}">
      <x14:dataValidations xmlns:xm="http://schemas.microsoft.com/office/excel/2006/main" count="8">
        <x14:dataValidation type="list" allowBlank="1" showInputMessage="1" showErrorMessage="1" xr:uid="{CBDFB274-B1A2-124A-BA55-151688412AA7}">
          <x14:formula1>
            <xm:f>Keuzemenu!$C$18:$C$20</xm:f>
          </x14:formula1>
          <xm:sqref>R25:T26</xm:sqref>
        </x14:dataValidation>
        <x14:dataValidation type="list" allowBlank="1" showInputMessage="1" showErrorMessage="1" xr:uid="{8770CECD-2973-BD46-9A23-EF2EF5BE5B4A}">
          <x14:formula1>
            <xm:f>Keuzemenu!$C$2:$C$3</xm:f>
          </x14:formula1>
          <xm:sqref>R139 R141</xm:sqref>
        </x14:dataValidation>
        <x14:dataValidation type="list" allowBlank="1" showInputMessage="1" showErrorMessage="1" xr:uid="{A1D7F5EC-67E2-0140-99B3-6D028C116064}">
          <x14:formula1>
            <xm:f>Keuzemenu!$C$24:$C$26</xm:f>
          </x14:formula1>
          <xm:sqref>R112:T112</xm:sqref>
        </x14:dataValidation>
        <x14:dataValidation type="list" allowBlank="1" showInputMessage="1" showErrorMessage="1" xr:uid="{C13C8207-38B0-AE4E-B3A1-638C390A6AF4}">
          <x14:formula1>
            <xm:f>Keuzemenu!$C$31:$C$33</xm:f>
          </x14:formula1>
          <xm:sqref>P114 O112 P116</xm:sqref>
        </x14:dataValidation>
        <x14:dataValidation type="list" allowBlank="1" showInputMessage="1" showErrorMessage="1" xr:uid="{6F6A5C88-590C-2645-8763-FC2273752E8F}">
          <x14:formula1>
            <xm:f>Keuzemenu!$C$43:$C$44</xm:f>
          </x14:formula1>
          <xm:sqref>R137:T137</xm:sqref>
        </x14:dataValidation>
        <x14:dataValidation type="list" allowBlank="1" showInputMessage="1" showErrorMessage="1" xr:uid="{D153FC74-CD54-4379-A817-61A595F559A5}">
          <x14:formula1>
            <xm:f>INDIRECT(Productselectie!$C$6)</xm:f>
          </x14:formula1>
          <xm:sqref>Q86</xm:sqref>
        </x14:dataValidation>
        <x14:dataValidation type="list" allowBlank="1" showInputMessage="1" showErrorMessage="1" xr:uid="{4B5CE837-57B0-46BF-847C-279FAA73FDE4}">
          <x14:formula1>
            <xm:f>INDIRECT(Productselectie!$C$15)</xm:f>
          </x14:formula1>
          <xm:sqref>Q88</xm:sqref>
        </x14:dataValidation>
        <x14:dataValidation type="list" allowBlank="1" showInputMessage="1" showErrorMessage="1" xr:uid="{2D156B57-65BA-49DC-8257-BE4D98D86C37}">
          <x14:formula1>
            <xm:f>INDIRECT(Productselectie!$C$27)</xm:f>
          </x14:formula1>
          <xm:sqref>M90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34B6-422E-467E-A6F1-D6589927AE07}">
  <dimension ref="A1:BM47"/>
  <sheetViews>
    <sheetView workbookViewId="0">
      <selection activeCell="Q25" sqref="Q25"/>
    </sheetView>
  </sheetViews>
  <sheetFormatPr baseColWidth="10" defaultColWidth="8.83203125" defaultRowHeight="16"/>
  <cols>
    <col min="1" max="1" width="15.6640625" customWidth="1"/>
    <col min="2" max="2" width="15.83203125" customWidth="1"/>
    <col min="3" max="3" width="12.6640625" customWidth="1"/>
    <col min="4" max="4" width="3.1640625" customWidth="1"/>
    <col min="5" max="5" width="13" customWidth="1"/>
    <col min="6" max="6" width="3.1640625" customWidth="1"/>
    <col min="7" max="7" width="13.5" customWidth="1"/>
    <col min="8" max="8" width="3.1640625" customWidth="1"/>
    <col min="9" max="9" width="7.5" customWidth="1"/>
    <col min="10" max="10" width="3.1640625" customWidth="1"/>
    <col min="11" max="11" width="12.33203125" customWidth="1"/>
    <col min="12" max="12" width="3.1640625" customWidth="1"/>
    <col min="13" max="13" width="13.1640625" bestFit="1" customWidth="1"/>
    <col min="14" max="14" width="3.1640625" customWidth="1"/>
    <col min="15" max="15" width="12.5" customWidth="1"/>
    <col min="16" max="16" width="3.1640625" customWidth="1"/>
    <col min="17" max="17" width="12.1640625" bestFit="1" customWidth="1"/>
    <col min="18" max="18" width="3.1640625" customWidth="1"/>
    <col min="19" max="19" width="13.1640625" bestFit="1" customWidth="1"/>
  </cols>
  <sheetData>
    <row r="1" spans="1:65" ht="17">
      <c r="A1" s="373"/>
      <c r="B1" s="373"/>
      <c r="C1" s="373"/>
      <c r="D1" s="373"/>
      <c r="E1" s="373"/>
      <c r="F1" s="373"/>
      <c r="G1" s="373"/>
      <c r="H1" s="373"/>
      <c r="I1" s="373"/>
      <c r="J1" s="373"/>
      <c r="K1" s="373"/>
      <c r="L1" s="373"/>
      <c r="M1" s="373"/>
      <c r="N1" s="373"/>
      <c r="O1" s="373"/>
      <c r="P1" s="373"/>
      <c r="Q1" s="373"/>
      <c r="R1" s="373"/>
      <c r="S1" s="373"/>
      <c r="T1" s="373"/>
      <c r="U1" s="373"/>
    </row>
    <row r="2" spans="1:65" ht="17">
      <c r="A2" s="374" t="s">
        <v>170</v>
      </c>
      <c r="B2" s="374"/>
      <c r="C2" s="374" t="s">
        <v>55</v>
      </c>
      <c r="D2" s="373"/>
      <c r="E2" s="373"/>
      <c r="F2" s="374" t="s">
        <v>59</v>
      </c>
      <c r="H2" s="373"/>
      <c r="I2" s="373"/>
      <c r="J2" s="373"/>
      <c r="K2" s="374" t="s">
        <v>45</v>
      </c>
      <c r="L2" s="373"/>
      <c r="O2" s="374" t="s">
        <v>59</v>
      </c>
      <c r="P2" s="373"/>
      <c r="Q2" s="373"/>
      <c r="X2" s="373"/>
    </row>
    <row r="3" spans="1:65" ht="17">
      <c r="A3" s="376" t="str">
        <f>Calculator!R25</f>
        <v>Variabel</v>
      </c>
      <c r="B3" s="376"/>
      <c r="C3" s="375">
        <f>Calculator!R30</f>
        <v>3500</v>
      </c>
      <c r="D3" s="373" t="s">
        <v>7</v>
      </c>
      <c r="E3" s="373"/>
      <c r="F3" s="374" t="s">
        <v>626</v>
      </c>
      <c r="O3" s="378" t="s">
        <v>627</v>
      </c>
      <c r="X3" s="375"/>
    </row>
    <row r="4" spans="1:65" ht="17">
      <c r="A4" s="376"/>
      <c r="B4" s="376"/>
      <c r="C4" s="375"/>
      <c r="D4" s="373"/>
      <c r="E4" s="373"/>
      <c r="G4" s="377">
        <f>Calculator!S47</f>
        <v>0.18</v>
      </c>
      <c r="H4" s="373" t="s">
        <v>57</v>
      </c>
      <c r="I4" s="373"/>
      <c r="J4" s="373"/>
      <c r="K4" s="377">
        <f ca="1">Jaargegevens!M9</f>
        <v>0.12286</v>
      </c>
      <c r="L4" s="373" t="s">
        <v>57</v>
      </c>
      <c r="O4" s="377">
        <f ca="1">G4+K4</f>
        <v>0.30286000000000002</v>
      </c>
      <c r="P4" s="373" t="s">
        <v>57</v>
      </c>
      <c r="Q4" s="373"/>
      <c r="V4" s="377"/>
      <c r="W4" s="373"/>
      <c r="X4" s="375"/>
    </row>
    <row r="5" spans="1:65" ht="17">
      <c r="A5" s="374"/>
      <c r="B5" s="374"/>
      <c r="C5" s="373"/>
      <c r="D5" s="373"/>
      <c r="E5" s="373"/>
      <c r="G5" s="373"/>
      <c r="H5" s="373"/>
      <c r="I5" s="373"/>
      <c r="J5" s="373"/>
      <c r="K5" s="373"/>
      <c r="L5" s="373"/>
      <c r="M5" s="375"/>
      <c r="N5" s="373"/>
      <c r="O5" s="373"/>
      <c r="P5" s="373"/>
      <c r="Q5" s="373"/>
      <c r="R5" s="373"/>
      <c r="S5" s="373"/>
      <c r="T5" s="373"/>
      <c r="U5" s="373"/>
    </row>
    <row r="6" spans="1:65" ht="17">
      <c r="A6" s="373"/>
      <c r="B6" s="373"/>
      <c r="C6" s="374" t="s">
        <v>44</v>
      </c>
      <c r="D6" s="373"/>
      <c r="F6" s="374" t="s">
        <v>156</v>
      </c>
      <c r="H6" s="373"/>
      <c r="I6" s="373"/>
      <c r="J6" s="373"/>
      <c r="K6" s="374" t="s">
        <v>156</v>
      </c>
      <c r="L6" s="373"/>
      <c r="M6" s="373"/>
      <c r="N6" s="373"/>
      <c r="O6" s="374" t="s">
        <v>58</v>
      </c>
      <c r="P6" s="373"/>
      <c r="S6" s="374" t="s">
        <v>209</v>
      </c>
      <c r="T6" s="374"/>
      <c r="U6" s="373"/>
    </row>
    <row r="7" spans="1:65" ht="17">
      <c r="A7" s="373"/>
      <c r="B7" s="373"/>
      <c r="C7" s="375">
        <f>Calculator!R32</f>
        <v>2500</v>
      </c>
      <c r="D7" s="373" t="s">
        <v>7</v>
      </c>
      <c r="F7" s="374" t="s">
        <v>563</v>
      </c>
      <c r="H7" s="373"/>
      <c r="I7" s="373"/>
      <c r="J7" s="373"/>
      <c r="K7" s="378" t="s">
        <v>564</v>
      </c>
      <c r="L7" s="373"/>
      <c r="M7" s="373"/>
      <c r="N7" s="373"/>
      <c r="O7" s="377">
        <f>IF(A3="Dynamisch",0,Calculator!S49)</f>
        <v>0.15</v>
      </c>
      <c r="P7" s="373" t="s">
        <v>57</v>
      </c>
      <c r="S7" s="377">
        <f>Calculator!S45</f>
        <v>8.99</v>
      </c>
      <c r="T7" s="373" t="s">
        <v>60</v>
      </c>
      <c r="U7" s="373"/>
    </row>
    <row r="8" spans="1:65" ht="17">
      <c r="A8" s="373"/>
      <c r="B8" s="373"/>
      <c r="G8" s="377">
        <f>IF(A3="Dynamisch",0,Calculator!S51)</f>
        <v>0.14000000000000001</v>
      </c>
      <c r="H8" s="373" t="s">
        <v>57</v>
      </c>
      <c r="I8" s="373"/>
      <c r="J8" s="373"/>
      <c r="K8" s="377">
        <f ca="1">O4</f>
        <v>0.30286000000000002</v>
      </c>
      <c r="L8" s="373" t="s">
        <v>57</v>
      </c>
      <c r="M8" s="373"/>
      <c r="N8" s="373"/>
      <c r="O8" s="373"/>
      <c r="P8" s="373"/>
      <c r="U8" s="373"/>
    </row>
    <row r="9" spans="1:65" ht="17">
      <c r="A9" s="374"/>
      <c r="B9" s="374"/>
      <c r="C9" s="373"/>
      <c r="D9" s="373"/>
      <c r="E9" s="373"/>
      <c r="F9" s="373"/>
      <c r="G9" s="373"/>
      <c r="H9" s="373"/>
      <c r="I9" s="373"/>
      <c r="J9" s="373"/>
      <c r="K9" s="373"/>
      <c r="L9" s="373"/>
      <c r="M9" s="375"/>
      <c r="N9" s="373"/>
      <c r="O9" s="373"/>
      <c r="P9" s="373"/>
      <c r="Q9" s="373"/>
      <c r="R9" s="373"/>
      <c r="S9" s="373"/>
      <c r="T9" s="373"/>
      <c r="U9" s="373"/>
    </row>
    <row r="10" spans="1:65" s="1" customFormat="1" ht="17">
      <c r="A10" s="374"/>
      <c r="B10" s="374"/>
      <c r="C10" s="379" t="s">
        <v>641</v>
      </c>
      <c r="D10" s="373"/>
      <c r="E10" s="373"/>
      <c r="F10" s="373"/>
      <c r="G10" s="373"/>
      <c r="H10" s="373"/>
      <c r="I10" s="379"/>
      <c r="J10" s="373"/>
      <c r="K10" s="373"/>
      <c r="L10" s="373"/>
      <c r="M10" s="377"/>
      <c r="N10" s="373"/>
      <c r="O10" s="373"/>
      <c r="P10" s="373"/>
      <c r="Q10" s="373"/>
      <c r="R10" s="373"/>
      <c r="S10" s="373"/>
      <c r="T10" s="380"/>
      <c r="U10" s="380"/>
      <c r="V10" s="4"/>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6"/>
      <c r="AX10" s="6"/>
      <c r="AY10" s="7"/>
      <c r="AZ10" s="7"/>
      <c r="BA10" s="7"/>
      <c r="BB10" s="6"/>
      <c r="BC10" s="2"/>
      <c r="BD10" s="2"/>
      <c r="BE10" s="2"/>
      <c r="BI10" s="2"/>
      <c r="BJ10" s="2"/>
      <c r="BK10" s="2"/>
      <c r="BL10" s="2"/>
      <c r="BM10" s="2"/>
    </row>
    <row r="11" spans="1:65" s="1" customFormat="1" ht="18" thickBot="1">
      <c r="A11" s="374"/>
      <c r="B11" s="374"/>
      <c r="C11" s="379"/>
      <c r="D11" s="373"/>
      <c r="E11" s="373"/>
      <c r="F11" s="373"/>
      <c r="G11" s="373"/>
      <c r="H11" s="373"/>
      <c r="I11" s="379"/>
      <c r="J11" s="373"/>
      <c r="K11" s="377"/>
      <c r="L11" s="373"/>
      <c r="M11" s="373"/>
      <c r="N11" s="373"/>
      <c r="O11" s="379"/>
      <c r="P11" s="373"/>
      <c r="Q11" s="373"/>
      <c r="R11" s="373"/>
      <c r="S11" s="373"/>
      <c r="T11" s="380"/>
      <c r="U11" s="380"/>
      <c r="V11" s="4"/>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6"/>
      <c r="AX11" s="6"/>
      <c r="AY11" s="7"/>
      <c r="AZ11" s="7"/>
      <c r="BA11" s="7"/>
      <c r="BB11" s="6"/>
      <c r="BC11" s="2"/>
      <c r="BD11" s="2"/>
      <c r="BE11" s="2"/>
      <c r="BI11" s="2"/>
      <c r="BJ11" s="2"/>
      <c r="BK11" s="2"/>
      <c r="BL11" s="2"/>
      <c r="BM11" s="2"/>
    </row>
    <row r="12" spans="1:65" ht="17">
      <c r="A12" s="373"/>
      <c r="B12" s="373"/>
      <c r="C12" s="381"/>
      <c r="D12" s="382"/>
      <c r="E12" s="382"/>
      <c r="F12" s="382"/>
      <c r="G12" s="383"/>
      <c r="H12" s="373"/>
      <c r="I12" s="381"/>
      <c r="J12" s="382"/>
      <c r="K12" s="382"/>
      <c r="L12" s="382"/>
      <c r="M12" s="383"/>
      <c r="N12" s="373"/>
      <c r="O12" s="381"/>
      <c r="P12" s="382"/>
      <c r="Q12" s="382"/>
      <c r="R12" s="382"/>
      <c r="S12" s="383"/>
      <c r="T12" s="373"/>
      <c r="U12" s="373"/>
    </row>
    <row r="13" spans="1:65" ht="17">
      <c r="A13" s="373"/>
      <c r="B13" s="373"/>
      <c r="C13" s="384"/>
      <c r="D13" s="373"/>
      <c r="E13" s="373"/>
      <c r="F13" s="373"/>
      <c r="G13" s="385" t="s">
        <v>558</v>
      </c>
      <c r="H13" s="373"/>
      <c r="I13" s="384"/>
      <c r="J13" s="373"/>
      <c r="K13" s="373"/>
      <c r="L13" s="373"/>
      <c r="M13" s="386" t="s">
        <v>103</v>
      </c>
      <c r="N13" s="373"/>
      <c r="O13" s="384"/>
      <c r="P13" s="373"/>
      <c r="Q13" s="373"/>
      <c r="R13" s="373"/>
      <c r="S13" s="386" t="s">
        <v>562</v>
      </c>
      <c r="T13" s="373"/>
      <c r="U13" s="373"/>
    </row>
    <row r="14" spans="1:65" ht="17">
      <c r="A14" s="373"/>
      <c r="B14" s="373"/>
      <c r="C14" s="384"/>
      <c r="D14" s="373"/>
      <c r="E14" s="373"/>
      <c r="F14" s="373"/>
      <c r="G14" s="387"/>
      <c r="H14" s="373"/>
      <c r="I14" s="384"/>
      <c r="J14" s="373"/>
      <c r="K14" s="373"/>
      <c r="L14" s="373"/>
      <c r="M14" s="387"/>
      <c r="N14" s="373"/>
      <c r="O14" s="384"/>
      <c r="P14" s="373"/>
      <c r="Q14" s="373"/>
      <c r="R14" s="373"/>
      <c r="S14" s="387"/>
      <c r="T14" s="373"/>
      <c r="U14" s="373"/>
    </row>
    <row r="15" spans="1:65" ht="17">
      <c r="A15" s="373" t="s">
        <v>55</v>
      </c>
      <c r="B15" s="373"/>
      <c r="C15" s="388">
        <f>C3</f>
        <v>3500</v>
      </c>
      <c r="D15" s="389" t="s">
        <v>142</v>
      </c>
      <c r="E15" s="390">
        <f>G4</f>
        <v>0.18</v>
      </c>
      <c r="F15" s="389" t="s">
        <v>396</v>
      </c>
      <c r="G15" s="391">
        <f>ROUND(C15*E15,0)</f>
        <v>630</v>
      </c>
      <c r="H15" s="389"/>
      <c r="I15" s="388">
        <f>C15</f>
        <v>3500</v>
      </c>
      <c r="J15" s="389" t="s">
        <v>142</v>
      </c>
      <c r="K15" s="390">
        <f>E15</f>
        <v>0.18</v>
      </c>
      <c r="L15" s="389" t="s">
        <v>396</v>
      </c>
      <c r="M15" s="391">
        <f>ROUND(I15*K15,0)</f>
        <v>630</v>
      </c>
      <c r="N15" s="389"/>
      <c r="O15" s="388">
        <f>I15</f>
        <v>3500</v>
      </c>
      <c r="P15" s="389" t="s">
        <v>142</v>
      </c>
      <c r="Q15" s="390">
        <f>K15</f>
        <v>0.18</v>
      </c>
      <c r="R15" s="389" t="s">
        <v>396</v>
      </c>
      <c r="S15" s="391">
        <f>ROUND(O15*Q15,0)</f>
        <v>630</v>
      </c>
      <c r="T15" s="373"/>
      <c r="U15" s="373"/>
    </row>
    <row r="16" spans="1:65" ht="6" customHeight="1">
      <c r="A16" s="373"/>
      <c r="B16" s="373"/>
      <c r="C16" s="384"/>
      <c r="D16" s="373"/>
      <c r="E16" s="390"/>
      <c r="F16" s="373"/>
      <c r="G16" s="387"/>
      <c r="H16" s="373"/>
      <c r="I16" s="384"/>
      <c r="J16" s="373"/>
      <c r="K16" s="390"/>
      <c r="L16" s="373"/>
      <c r="M16" s="387"/>
      <c r="N16" s="373"/>
      <c r="O16" s="384"/>
      <c r="P16" s="373"/>
      <c r="Q16" s="390"/>
      <c r="R16" s="373"/>
      <c r="S16" s="387"/>
      <c r="T16" s="373"/>
      <c r="U16" s="373"/>
    </row>
    <row r="17" spans="1:25" ht="17">
      <c r="A17" s="373" t="s">
        <v>559</v>
      </c>
      <c r="B17" s="373"/>
      <c r="C17" s="388">
        <f>MIN(C7,C15)</f>
        <v>2500</v>
      </c>
      <c r="D17" s="389" t="s">
        <v>142</v>
      </c>
      <c r="E17" s="390">
        <f>G4</f>
        <v>0.18</v>
      </c>
      <c r="F17" s="389" t="s">
        <v>396</v>
      </c>
      <c r="G17" s="391">
        <f>-ROUND(C17*E17,0)</f>
        <v>-450</v>
      </c>
      <c r="H17" s="389"/>
      <c r="I17" s="388">
        <f>C17</f>
        <v>2500</v>
      </c>
      <c r="J17" s="389" t="s">
        <v>142</v>
      </c>
      <c r="K17" s="390">
        <f>E17</f>
        <v>0.18</v>
      </c>
      <c r="L17" s="389" t="s">
        <v>396</v>
      </c>
      <c r="M17" s="391">
        <f>-ROUND(I17*K17,0)</f>
        <v>-450</v>
      </c>
      <c r="N17" s="389"/>
      <c r="O17" s="388"/>
      <c r="P17" s="389" t="s">
        <v>142</v>
      </c>
      <c r="Q17" s="390">
        <f>K17</f>
        <v>0.18</v>
      </c>
      <c r="R17" s="389" t="s">
        <v>396</v>
      </c>
      <c r="S17" s="391">
        <f>-ROUND(O17*Q17,0)</f>
        <v>0</v>
      </c>
      <c r="T17" s="373"/>
      <c r="U17" s="373"/>
    </row>
    <row r="18" spans="1:25" ht="17">
      <c r="A18" s="373"/>
      <c r="B18" s="373"/>
      <c r="C18" s="422" t="s">
        <v>398</v>
      </c>
      <c r="D18" s="373"/>
      <c r="E18" s="390"/>
      <c r="F18" s="373"/>
      <c r="G18" s="392" t="s">
        <v>398</v>
      </c>
      <c r="H18" s="373"/>
      <c r="I18" s="422" t="s">
        <v>398</v>
      </c>
      <c r="J18" s="373"/>
      <c r="K18" s="390"/>
      <c r="L18" s="373"/>
      <c r="M18" s="392" t="s">
        <v>398</v>
      </c>
      <c r="N18" s="373"/>
      <c r="O18" s="422"/>
      <c r="P18" s="373"/>
      <c r="Q18" s="390"/>
      <c r="R18" s="373"/>
      <c r="S18" s="392" t="s">
        <v>398</v>
      </c>
      <c r="T18" s="373"/>
      <c r="U18" s="373"/>
    </row>
    <row r="19" spans="1:25" ht="17">
      <c r="A19" s="373" t="s">
        <v>560</v>
      </c>
      <c r="B19" s="373"/>
      <c r="C19" s="388">
        <f>C15-C17</f>
        <v>1000</v>
      </c>
      <c r="D19" s="373"/>
      <c r="E19" s="390"/>
      <c r="F19" s="373"/>
      <c r="G19" s="391">
        <f>SUM(G14:G18)</f>
        <v>180</v>
      </c>
      <c r="H19" s="373"/>
      <c r="I19" s="388">
        <f>I15-I17</f>
        <v>1000</v>
      </c>
      <c r="J19" s="373"/>
      <c r="K19" s="390"/>
      <c r="L19" s="373"/>
      <c r="M19" s="391">
        <f>SUM(M14:M18)</f>
        <v>180</v>
      </c>
      <c r="N19" s="373"/>
      <c r="O19" s="388"/>
      <c r="P19" s="373"/>
      <c r="Q19" s="390"/>
      <c r="R19" s="373"/>
      <c r="S19" s="391">
        <f>SUM(S14:S18)</f>
        <v>630</v>
      </c>
      <c r="T19" s="373"/>
      <c r="U19" s="373"/>
    </row>
    <row r="20" spans="1:25" ht="6" customHeight="1">
      <c r="A20" s="373"/>
      <c r="B20" s="373"/>
      <c r="C20" s="388"/>
      <c r="D20" s="389"/>
      <c r="E20" s="390"/>
      <c r="F20" s="389"/>
      <c r="G20" s="391"/>
      <c r="H20" s="389"/>
      <c r="I20" s="388"/>
      <c r="J20" s="389"/>
      <c r="K20" s="390"/>
      <c r="L20" s="389"/>
      <c r="M20" s="391"/>
      <c r="N20" s="389"/>
      <c r="O20" s="388"/>
      <c r="P20" s="389"/>
      <c r="Q20" s="390"/>
      <c r="R20" s="389"/>
      <c r="S20" s="391"/>
      <c r="T20" s="373"/>
      <c r="U20" s="373"/>
    </row>
    <row r="21" spans="1:25" ht="17">
      <c r="A21" s="373" t="s">
        <v>45</v>
      </c>
      <c r="B21" s="373"/>
      <c r="C21" s="388">
        <f>C19</f>
        <v>1000</v>
      </c>
      <c r="D21" s="389" t="s">
        <v>142</v>
      </c>
      <c r="E21" s="390">
        <f ca="1">K4</f>
        <v>0.12286</v>
      </c>
      <c r="F21" s="389" t="s">
        <v>396</v>
      </c>
      <c r="G21" s="391">
        <f ca="1">ROUND(C21*E21,0)</f>
        <v>123</v>
      </c>
      <c r="H21" s="389"/>
      <c r="I21" s="388">
        <f>I19</f>
        <v>1000</v>
      </c>
      <c r="J21" s="389" t="s">
        <v>142</v>
      </c>
      <c r="K21" s="390">
        <f ca="1">E21</f>
        <v>0.12286</v>
      </c>
      <c r="L21" s="389" t="s">
        <v>396</v>
      </c>
      <c r="M21" s="391">
        <f ca="1">ROUND(I21*K21,0)</f>
        <v>123</v>
      </c>
      <c r="N21" s="389"/>
      <c r="O21" s="388">
        <f>O15</f>
        <v>3500</v>
      </c>
      <c r="P21" s="389" t="s">
        <v>142</v>
      </c>
      <c r="Q21" s="390">
        <f ca="1">K21</f>
        <v>0.12286</v>
      </c>
      <c r="R21" s="389" t="s">
        <v>396</v>
      </c>
      <c r="S21" s="391">
        <f ca="1">ROUND(O21*Q21,0)</f>
        <v>430</v>
      </c>
      <c r="T21" s="373"/>
      <c r="U21" s="373"/>
    </row>
    <row r="22" spans="1:25" ht="6" customHeight="1">
      <c r="A22" s="373"/>
      <c r="B22" s="373"/>
      <c r="C22" s="384"/>
      <c r="D22" s="373"/>
      <c r="E22" s="390"/>
      <c r="F22" s="373"/>
      <c r="G22" s="387"/>
      <c r="H22" s="373"/>
      <c r="I22" s="384"/>
      <c r="J22" s="373"/>
      <c r="K22" s="390"/>
      <c r="L22" s="373"/>
      <c r="M22" s="387"/>
      <c r="N22" s="373"/>
      <c r="O22" s="384"/>
      <c r="P22" s="373"/>
      <c r="Q22" s="390"/>
      <c r="R22" s="373"/>
      <c r="S22" s="387"/>
      <c r="T22" s="373"/>
      <c r="U22" s="373"/>
    </row>
    <row r="23" spans="1:25" ht="17">
      <c r="A23" s="373" t="s">
        <v>561</v>
      </c>
      <c r="B23" s="373"/>
      <c r="C23" s="388">
        <f>C7-C17</f>
        <v>0</v>
      </c>
      <c r="D23" s="389" t="s">
        <v>142</v>
      </c>
      <c r="E23" s="390">
        <f>G8</f>
        <v>0.14000000000000001</v>
      </c>
      <c r="F23" s="389" t="s">
        <v>396</v>
      </c>
      <c r="G23" s="391">
        <f>-ROUND(C23*E23,0)</f>
        <v>0</v>
      </c>
      <c r="H23" s="389"/>
      <c r="I23" s="388">
        <f>C23</f>
        <v>0</v>
      </c>
      <c r="J23" s="389" t="s">
        <v>142</v>
      </c>
      <c r="K23" s="390">
        <f>E23</f>
        <v>0.14000000000000001</v>
      </c>
      <c r="L23" s="389" t="s">
        <v>396</v>
      </c>
      <c r="M23" s="391">
        <f>-ROUND(I23*K23,0)</f>
        <v>0</v>
      </c>
      <c r="N23" s="389"/>
      <c r="O23" s="388">
        <f>C7</f>
        <v>2500</v>
      </c>
      <c r="P23" s="389" t="s">
        <v>142</v>
      </c>
      <c r="Q23" s="390">
        <v>0</v>
      </c>
      <c r="R23" s="389" t="s">
        <v>396</v>
      </c>
      <c r="S23" s="391">
        <f>-ROUND(O23*Q23,0)</f>
        <v>0</v>
      </c>
      <c r="T23" s="373"/>
      <c r="U23" s="373"/>
    </row>
    <row r="24" spans="1:25" ht="6" customHeight="1">
      <c r="A24" s="373"/>
      <c r="B24" s="373"/>
      <c r="C24" s="388"/>
      <c r="D24" s="389"/>
      <c r="E24" s="390"/>
      <c r="F24" s="389"/>
      <c r="G24" s="391"/>
      <c r="H24" s="389"/>
      <c r="I24" s="388"/>
      <c r="J24" s="389"/>
      <c r="K24" s="390"/>
      <c r="L24" s="389"/>
      <c r="M24" s="391"/>
      <c r="N24" s="389"/>
      <c r="O24" s="388"/>
      <c r="P24" s="389"/>
      <c r="Q24" s="390"/>
      <c r="R24" s="389"/>
      <c r="S24" s="391"/>
      <c r="T24" s="373"/>
      <c r="U24" s="373"/>
    </row>
    <row r="25" spans="1:25" ht="17">
      <c r="A25" s="373" t="s">
        <v>58</v>
      </c>
      <c r="B25" s="373"/>
      <c r="C25" s="388">
        <f>C7</f>
        <v>2500</v>
      </c>
      <c r="D25" s="389" t="s">
        <v>142</v>
      </c>
      <c r="E25" s="390">
        <v>0</v>
      </c>
      <c r="F25" s="389" t="s">
        <v>396</v>
      </c>
      <c r="G25" s="391">
        <f>ROUND(C25*E25,0)</f>
        <v>0</v>
      </c>
      <c r="H25" s="389"/>
      <c r="I25" s="388">
        <f>C25</f>
        <v>2500</v>
      </c>
      <c r="J25" s="389" t="s">
        <v>142</v>
      </c>
      <c r="K25" s="390">
        <f>O7</f>
        <v>0.15</v>
      </c>
      <c r="L25" s="389" t="s">
        <v>396</v>
      </c>
      <c r="M25" s="391">
        <f>ROUND(I25*K25,0)</f>
        <v>375</v>
      </c>
      <c r="N25" s="389"/>
      <c r="O25" s="388">
        <f>I25</f>
        <v>2500</v>
      </c>
      <c r="P25" s="389" t="s">
        <v>142</v>
      </c>
      <c r="Q25" s="390">
        <f>Q23</f>
        <v>0</v>
      </c>
      <c r="R25" s="389" t="s">
        <v>396</v>
      </c>
      <c r="S25" s="391">
        <f>ROUND(O25*Q25,0)</f>
        <v>0</v>
      </c>
      <c r="T25" s="373"/>
      <c r="U25" s="373"/>
    </row>
    <row r="26" spans="1:25" ht="17">
      <c r="A26" s="373"/>
      <c r="B26" s="373"/>
      <c r="C26" s="384"/>
      <c r="D26" s="373"/>
      <c r="E26" s="373"/>
      <c r="F26" s="373"/>
      <c r="G26" s="392" t="s">
        <v>398</v>
      </c>
      <c r="H26" s="373"/>
      <c r="I26" s="384"/>
      <c r="J26" s="373"/>
      <c r="K26" s="373"/>
      <c r="L26" s="373"/>
      <c r="M26" s="392" t="s">
        <v>398</v>
      </c>
      <c r="N26" s="373"/>
      <c r="O26" s="384"/>
      <c r="P26" s="373"/>
      <c r="Q26" s="373"/>
      <c r="R26" s="373"/>
      <c r="S26" s="392" t="s">
        <v>398</v>
      </c>
      <c r="T26" s="373"/>
      <c r="U26" s="373"/>
    </row>
    <row r="27" spans="1:25" ht="17">
      <c r="A27" s="373"/>
      <c r="B27" s="373"/>
      <c r="C27" s="384"/>
      <c r="D27" s="373"/>
      <c r="E27" s="373"/>
      <c r="F27" s="373"/>
      <c r="G27" s="391">
        <f ca="1">SUM(G18:G26)</f>
        <v>303</v>
      </c>
      <c r="H27" s="373"/>
      <c r="I27" s="384"/>
      <c r="J27" s="373"/>
      <c r="K27" s="373"/>
      <c r="L27" s="373"/>
      <c r="M27" s="391">
        <f ca="1">SUM(M18:M26)</f>
        <v>678</v>
      </c>
      <c r="N27" s="373"/>
      <c r="O27" s="384"/>
      <c r="P27" s="373"/>
      <c r="Q27" s="373"/>
      <c r="R27" s="373"/>
      <c r="S27" s="391">
        <f ca="1">SUM(S18:S26)</f>
        <v>1060</v>
      </c>
      <c r="T27" s="373"/>
      <c r="U27" s="373"/>
    </row>
    <row r="28" spans="1:25" ht="6" customHeight="1">
      <c r="A28" s="373"/>
      <c r="B28" s="373"/>
      <c r="C28" s="384"/>
      <c r="D28" s="373"/>
      <c r="E28" s="373"/>
      <c r="F28" s="373"/>
      <c r="G28" s="387"/>
      <c r="H28" s="373"/>
      <c r="I28" s="384"/>
      <c r="J28" s="373"/>
      <c r="K28" s="373"/>
      <c r="L28" s="373"/>
      <c r="M28" s="387"/>
      <c r="N28" s="373"/>
      <c r="O28" s="384"/>
      <c r="P28" s="373"/>
      <c r="Q28" s="373"/>
      <c r="R28" s="373"/>
      <c r="S28" s="387"/>
      <c r="T28" s="373"/>
      <c r="U28" s="373"/>
    </row>
    <row r="29" spans="1:25" ht="17">
      <c r="A29" s="373" t="s">
        <v>209</v>
      </c>
      <c r="B29" s="373"/>
      <c r="C29" s="388">
        <v>12</v>
      </c>
      <c r="D29" s="389" t="s">
        <v>142</v>
      </c>
      <c r="E29" s="390">
        <f>S7</f>
        <v>8.99</v>
      </c>
      <c r="F29" s="389" t="s">
        <v>396</v>
      </c>
      <c r="G29" s="391">
        <f>ROUND(C29*E29,0)</f>
        <v>108</v>
      </c>
      <c r="H29" s="389"/>
      <c r="I29" s="388">
        <f>C29</f>
        <v>12</v>
      </c>
      <c r="J29" s="389" t="s">
        <v>142</v>
      </c>
      <c r="K29" s="390">
        <f>E29</f>
        <v>8.99</v>
      </c>
      <c r="L29" s="389" t="s">
        <v>396</v>
      </c>
      <c r="M29" s="391">
        <f>ROUND(I29*K29,0)</f>
        <v>108</v>
      </c>
      <c r="N29" s="389"/>
      <c r="O29" s="388">
        <f>I29</f>
        <v>12</v>
      </c>
      <c r="P29" s="389" t="s">
        <v>142</v>
      </c>
      <c r="Q29" s="390">
        <f>K29</f>
        <v>8.99</v>
      </c>
      <c r="R29" s="389" t="s">
        <v>396</v>
      </c>
      <c r="S29" s="391">
        <f>ROUND(O29*Q29,0)</f>
        <v>108</v>
      </c>
      <c r="T29" s="373"/>
      <c r="U29" s="373"/>
    </row>
    <row r="30" spans="1:25" ht="17">
      <c r="A30" s="373"/>
      <c r="B30" s="373"/>
      <c r="C30" s="384"/>
      <c r="D30" s="373"/>
      <c r="E30" s="373"/>
      <c r="F30" s="373"/>
      <c r="G30" s="392" t="s">
        <v>398</v>
      </c>
      <c r="H30" s="373"/>
      <c r="I30" s="384"/>
      <c r="J30" s="373"/>
      <c r="K30" s="373"/>
      <c r="L30" s="373"/>
      <c r="M30" s="392" t="s">
        <v>398</v>
      </c>
      <c r="N30" s="373"/>
      <c r="O30" s="384"/>
      <c r="P30" s="373"/>
      <c r="Q30" s="373"/>
      <c r="R30" s="373"/>
      <c r="S30" s="392" t="s">
        <v>398</v>
      </c>
      <c r="T30" s="373"/>
      <c r="U30" s="373"/>
    </row>
    <row r="31" spans="1:25" ht="17">
      <c r="A31" s="373"/>
      <c r="B31" s="373"/>
      <c r="C31" s="384"/>
      <c r="D31" s="373"/>
      <c r="E31" s="373"/>
      <c r="F31" s="373"/>
      <c r="G31" s="391">
        <f ca="1">SUM(G26:G30)</f>
        <v>411</v>
      </c>
      <c r="H31" s="373"/>
      <c r="I31" s="384"/>
      <c r="J31" s="373"/>
      <c r="K31" s="373"/>
      <c r="L31" s="373"/>
      <c r="M31" s="391">
        <f ca="1">SUM(M26:M30)</f>
        <v>786</v>
      </c>
      <c r="N31" s="373"/>
      <c r="O31" s="384"/>
      <c r="P31" s="373"/>
      <c r="Q31" s="373"/>
      <c r="R31" s="373"/>
      <c r="S31" s="391">
        <f ca="1">SUM(S26:S30)</f>
        <v>1168</v>
      </c>
      <c r="T31" s="373"/>
      <c r="U31" s="373"/>
    </row>
    <row r="32" spans="1:25" ht="17">
      <c r="A32" s="373"/>
      <c r="B32" s="373"/>
      <c r="C32" s="384"/>
      <c r="D32" s="373"/>
      <c r="E32" s="373"/>
      <c r="F32" s="373"/>
      <c r="G32" s="392" t="s">
        <v>396</v>
      </c>
      <c r="H32" s="373"/>
      <c r="I32" s="384"/>
      <c r="J32" s="373"/>
      <c r="K32" s="373"/>
      <c r="L32" s="373"/>
      <c r="M32" s="392" t="s">
        <v>396</v>
      </c>
      <c r="N32" s="373"/>
      <c r="O32" s="384"/>
      <c r="P32" s="373"/>
      <c r="Q32" s="373"/>
      <c r="R32" s="373"/>
      <c r="S32" s="392" t="s">
        <v>396</v>
      </c>
      <c r="T32" s="373"/>
      <c r="U32" s="373"/>
      <c r="Y32" s="373"/>
    </row>
    <row r="33" spans="1:25" ht="18" thickBot="1">
      <c r="A33" s="373"/>
      <c r="B33" s="373"/>
      <c r="C33" s="393"/>
      <c r="D33" s="394"/>
      <c r="E33" s="394"/>
      <c r="F33" s="394"/>
      <c r="G33" s="395"/>
      <c r="H33" s="373"/>
      <c r="I33" s="393"/>
      <c r="J33" s="394"/>
      <c r="K33" s="394"/>
      <c r="L33" s="394"/>
      <c r="M33" s="395"/>
      <c r="N33" s="373"/>
      <c r="O33" s="393"/>
      <c r="P33" s="394"/>
      <c r="Q33" s="394"/>
      <c r="R33" s="394"/>
      <c r="S33" s="395"/>
      <c r="T33" s="373"/>
      <c r="U33" s="373"/>
      <c r="Y33" s="373"/>
    </row>
    <row r="34" spans="1:25" ht="17">
      <c r="A34" s="373"/>
      <c r="B34" s="373"/>
      <c r="C34" s="373"/>
      <c r="D34" s="373"/>
      <c r="E34" s="373"/>
      <c r="F34" s="373"/>
      <c r="G34" s="373"/>
      <c r="H34" s="373"/>
      <c r="I34" s="373"/>
      <c r="J34" s="373"/>
      <c r="K34" s="373"/>
      <c r="L34" s="373"/>
      <c r="M34" s="373"/>
      <c r="N34" s="373"/>
      <c r="O34" s="373"/>
      <c r="P34" s="373"/>
      <c r="Q34" s="373"/>
      <c r="R34" s="373"/>
      <c r="S34" s="373"/>
      <c r="T34" s="373"/>
      <c r="U34" s="373"/>
    </row>
    <row r="35" spans="1:25" ht="17">
      <c r="A35" s="373"/>
      <c r="B35" s="373"/>
      <c r="C35" s="396"/>
      <c r="D35" s="396"/>
      <c r="E35" s="396"/>
      <c r="F35" s="396"/>
      <c r="G35" s="396"/>
      <c r="H35" s="396"/>
      <c r="I35" s="396"/>
      <c r="J35" s="396"/>
      <c r="K35" s="373"/>
      <c r="L35" s="396"/>
      <c r="M35" s="373"/>
      <c r="N35" s="396"/>
      <c r="O35" s="396"/>
      <c r="P35" s="396"/>
      <c r="Q35" s="373"/>
      <c r="R35" s="396"/>
      <c r="S35" s="373"/>
      <c r="T35" s="373"/>
      <c r="U35" s="373"/>
    </row>
    <row r="36" spans="1:25" ht="17">
      <c r="A36" s="373"/>
      <c r="B36" s="373"/>
      <c r="C36" s="396"/>
      <c r="D36" s="396"/>
      <c r="E36" s="396"/>
      <c r="F36" s="396"/>
      <c r="G36" s="396"/>
      <c r="H36" s="396"/>
      <c r="I36" s="396"/>
      <c r="J36" s="396"/>
      <c r="K36" s="373"/>
      <c r="L36" s="396"/>
      <c r="M36" s="373"/>
      <c r="N36" s="396"/>
      <c r="O36" s="396"/>
      <c r="P36" s="396"/>
      <c r="Q36" s="373"/>
      <c r="R36" s="396"/>
      <c r="S36" s="373"/>
      <c r="T36" s="373"/>
      <c r="U36" s="373"/>
    </row>
    <row r="37" spans="1:25" ht="17">
      <c r="A37" s="373"/>
      <c r="B37" s="373"/>
      <c r="C37" s="396"/>
      <c r="D37" s="396"/>
      <c r="E37" s="396"/>
      <c r="F37" s="396"/>
      <c r="G37" s="396"/>
      <c r="H37" s="396"/>
      <c r="I37" s="396"/>
      <c r="J37" s="396"/>
      <c r="K37" s="373"/>
      <c r="L37" s="396"/>
      <c r="M37" s="373"/>
      <c r="N37" s="396"/>
      <c r="O37" s="396"/>
      <c r="P37" s="396"/>
      <c r="Q37" s="373"/>
      <c r="R37" s="396"/>
      <c r="S37" s="373"/>
      <c r="T37" s="373"/>
      <c r="U37" s="373"/>
    </row>
    <row r="38" spans="1:25" ht="17">
      <c r="A38" s="373"/>
      <c r="B38" s="373"/>
      <c r="C38" s="396"/>
      <c r="D38" s="396"/>
      <c r="E38" s="396"/>
      <c r="F38" s="396"/>
      <c r="G38" s="396"/>
      <c r="H38" s="396"/>
      <c r="I38" s="396"/>
      <c r="J38" s="396"/>
      <c r="K38" s="373"/>
      <c r="L38" s="396"/>
      <c r="M38" s="373"/>
      <c r="N38" s="396"/>
      <c r="O38" s="396"/>
      <c r="P38" s="396"/>
      <c r="Q38" s="373"/>
      <c r="R38" s="396"/>
      <c r="S38" s="373"/>
      <c r="T38" s="373"/>
      <c r="U38" s="373"/>
    </row>
    <row r="39" spans="1:25" ht="17">
      <c r="A39" s="373"/>
      <c r="B39" s="373"/>
      <c r="C39" s="396"/>
      <c r="D39" s="396"/>
      <c r="E39" s="396"/>
      <c r="F39" s="396"/>
      <c r="G39" s="396"/>
      <c r="H39" s="396"/>
      <c r="I39" s="396"/>
      <c r="J39" s="396"/>
      <c r="K39" s="373"/>
      <c r="L39" s="396"/>
      <c r="M39" s="373"/>
      <c r="N39" s="396"/>
      <c r="O39" s="396"/>
      <c r="P39" s="396"/>
      <c r="Q39" s="373"/>
      <c r="R39" s="396"/>
      <c r="S39" s="373"/>
      <c r="T39" s="373"/>
      <c r="U39" s="373"/>
    </row>
    <row r="40" spans="1:25" ht="17">
      <c r="A40" s="373"/>
      <c r="B40" s="373"/>
      <c r="C40" s="396"/>
      <c r="D40" s="396"/>
      <c r="E40" s="396"/>
      <c r="F40" s="396"/>
      <c r="G40" s="396"/>
      <c r="H40" s="396"/>
      <c r="I40" s="396"/>
      <c r="J40" s="396"/>
      <c r="K40" s="373"/>
      <c r="L40" s="396"/>
      <c r="M40" s="373"/>
      <c r="N40" s="396"/>
      <c r="O40" s="396"/>
      <c r="P40" s="396"/>
      <c r="Q40" s="373"/>
      <c r="R40" s="396"/>
      <c r="S40" s="373"/>
      <c r="T40" s="373"/>
      <c r="U40" s="373"/>
    </row>
    <row r="41" spans="1:25" ht="17">
      <c r="A41" s="373"/>
      <c r="B41" s="373"/>
      <c r="C41" s="396"/>
      <c r="D41" s="396"/>
      <c r="E41" s="396"/>
      <c r="F41" s="396"/>
      <c r="G41" s="396"/>
      <c r="H41" s="396"/>
      <c r="I41" s="396"/>
      <c r="J41" s="396"/>
      <c r="K41" s="373"/>
      <c r="L41" s="396"/>
      <c r="M41" s="373"/>
      <c r="N41" s="396"/>
      <c r="O41" s="396"/>
      <c r="P41" s="396"/>
      <c r="Q41" s="373"/>
      <c r="R41" s="396"/>
      <c r="S41" s="373"/>
      <c r="T41" s="373"/>
      <c r="U41" s="373"/>
    </row>
    <row r="42" spans="1:25" ht="17">
      <c r="A42" s="373"/>
      <c r="B42" s="373"/>
      <c r="C42" s="396"/>
      <c r="D42" s="396"/>
      <c r="E42" s="396"/>
      <c r="F42" s="396"/>
      <c r="G42" s="396"/>
      <c r="H42" s="396"/>
      <c r="I42" s="396"/>
      <c r="J42" s="396"/>
      <c r="K42" s="373"/>
      <c r="L42" s="396"/>
      <c r="M42" s="373"/>
      <c r="N42" s="396"/>
      <c r="O42" s="396"/>
      <c r="P42" s="396"/>
      <c r="Q42" s="373"/>
      <c r="R42" s="396"/>
      <c r="S42" s="373"/>
      <c r="T42" s="373"/>
      <c r="U42" s="373"/>
    </row>
    <row r="43" spans="1:25" ht="17">
      <c r="A43" s="373"/>
      <c r="B43" s="373"/>
      <c r="C43" s="396"/>
      <c r="D43" s="396"/>
      <c r="E43" s="396"/>
      <c r="F43" s="396"/>
      <c r="G43" s="396"/>
      <c r="H43" s="396"/>
      <c r="I43" s="396"/>
      <c r="J43" s="396"/>
      <c r="K43" s="373"/>
      <c r="L43" s="396"/>
      <c r="M43" s="373"/>
      <c r="N43" s="396"/>
      <c r="O43" s="396"/>
      <c r="P43" s="396"/>
      <c r="Q43" s="373"/>
      <c r="R43" s="396"/>
      <c r="S43" s="373"/>
      <c r="T43" s="373"/>
      <c r="U43" s="373"/>
    </row>
    <row r="44" spans="1:25" ht="17">
      <c r="A44" s="373"/>
      <c r="B44" s="373"/>
      <c r="C44" s="373"/>
      <c r="D44" s="373"/>
      <c r="E44" s="373"/>
      <c r="F44" s="373"/>
      <c r="G44" s="373"/>
      <c r="H44" s="373"/>
      <c r="I44" s="373"/>
      <c r="J44" s="373"/>
      <c r="K44" s="373"/>
      <c r="L44" s="373"/>
      <c r="M44" s="373"/>
      <c r="N44" s="373"/>
      <c r="O44" s="373"/>
      <c r="P44" s="373"/>
      <c r="Q44" s="373"/>
      <c r="R44" s="373"/>
      <c r="S44" s="373"/>
      <c r="T44" s="373"/>
      <c r="U44" s="373"/>
    </row>
    <row r="45" spans="1:25" ht="17">
      <c r="A45" s="373"/>
      <c r="B45" s="373"/>
      <c r="C45" s="373"/>
      <c r="D45" s="373"/>
      <c r="E45" s="373"/>
      <c r="F45" s="373"/>
      <c r="G45" s="373"/>
      <c r="H45" s="373"/>
      <c r="I45" s="373"/>
      <c r="J45" s="373"/>
      <c r="K45" s="373"/>
      <c r="L45" s="373"/>
      <c r="M45" s="373"/>
      <c r="N45" s="373"/>
      <c r="O45" s="373"/>
      <c r="P45" s="373"/>
      <c r="Q45" s="373"/>
      <c r="R45" s="373"/>
      <c r="S45" s="373"/>
      <c r="T45" s="373"/>
      <c r="U45" s="373"/>
    </row>
    <row r="46" spans="1:25" ht="17">
      <c r="A46" s="373"/>
      <c r="B46" s="373"/>
      <c r="C46" s="373"/>
      <c r="D46" s="373"/>
      <c r="E46" s="373"/>
      <c r="F46" s="373"/>
      <c r="G46" s="373"/>
      <c r="H46" s="373"/>
      <c r="I46" s="373"/>
      <c r="J46" s="373"/>
      <c r="K46" s="373"/>
      <c r="L46" s="373"/>
      <c r="M46" s="373"/>
      <c r="N46" s="373"/>
      <c r="O46" s="373"/>
      <c r="P46" s="373"/>
      <c r="Q46" s="373"/>
      <c r="R46" s="373"/>
      <c r="S46" s="373"/>
      <c r="T46" s="373"/>
      <c r="U46" s="373"/>
    </row>
    <row r="47" spans="1:25" ht="17">
      <c r="A47" s="373"/>
      <c r="B47" s="373"/>
      <c r="C47" s="373"/>
      <c r="D47" s="373"/>
      <c r="E47" s="373"/>
      <c r="F47" s="373"/>
      <c r="G47" s="373"/>
      <c r="H47" s="373"/>
      <c r="I47" s="373"/>
      <c r="J47" s="373"/>
      <c r="K47" s="373"/>
      <c r="L47" s="373"/>
      <c r="M47" s="373"/>
      <c r="N47" s="373"/>
      <c r="O47" s="373"/>
      <c r="P47" s="373"/>
      <c r="Q47" s="373"/>
      <c r="R47" s="373"/>
      <c r="S47" s="373"/>
      <c r="T47" s="373"/>
      <c r="U47" s="373"/>
    </row>
  </sheetData>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EF0D-A909-A64F-B799-70AC525DCDB3}">
  <dimension ref="B1:AA61"/>
  <sheetViews>
    <sheetView topLeftCell="A10" zoomScale="130" zoomScaleNormal="130" workbookViewId="0">
      <selection activeCell="C16" sqref="C16"/>
    </sheetView>
  </sheetViews>
  <sheetFormatPr baseColWidth="10" defaultColWidth="31.6640625" defaultRowHeight="16"/>
  <cols>
    <col min="1" max="1" width="4.6640625" style="12" customWidth="1"/>
    <col min="2" max="2" width="24.6640625" style="12" customWidth="1"/>
    <col min="3" max="3" width="10.6640625" style="12" bestFit="1" customWidth="1"/>
    <col min="4" max="4" width="7.5" style="12" customWidth="1"/>
    <col min="5" max="5" width="8.1640625" style="12" customWidth="1"/>
    <col min="6" max="6" width="24.6640625" style="12" customWidth="1"/>
    <col min="7" max="7" width="10.6640625" style="12" bestFit="1" customWidth="1"/>
    <col min="8" max="8" width="7.5" style="12" customWidth="1"/>
    <col min="9" max="9" width="8.1640625" style="12" customWidth="1"/>
    <col min="10" max="10" width="24.6640625" style="12" customWidth="1"/>
    <col min="11" max="11" width="10.6640625" style="12" bestFit="1" customWidth="1"/>
    <col min="12" max="13" width="6.6640625" style="12" customWidth="1"/>
    <col min="14" max="14" width="24.6640625" style="12" customWidth="1"/>
    <col min="15" max="15" width="10.6640625" style="12" bestFit="1" customWidth="1"/>
    <col min="16" max="16" width="6.6640625" style="12" customWidth="1"/>
    <col min="17" max="17" width="24.6640625" style="12" customWidth="1"/>
    <col min="18" max="18" width="10.6640625" style="12" bestFit="1" customWidth="1"/>
    <col min="19" max="19" width="6.6640625" style="12" customWidth="1"/>
    <col min="20" max="16384" width="31.6640625" style="12"/>
  </cols>
  <sheetData>
    <row r="1" spans="2:18" s="197" customFormat="1">
      <c r="B1" s="199" t="s">
        <v>510</v>
      </c>
      <c r="F1" s="203" t="s">
        <v>529</v>
      </c>
      <c r="G1" s="197" t="s">
        <v>553</v>
      </c>
      <c r="J1" s="199"/>
      <c r="N1" s="199"/>
      <c r="Q1" s="199"/>
    </row>
    <row r="2" spans="2:18" s="197" customFormat="1"/>
    <row r="3" spans="2:18" s="197" customFormat="1">
      <c r="B3" s="196" t="s">
        <v>502</v>
      </c>
      <c r="C3" s="196" t="s">
        <v>61</v>
      </c>
      <c r="F3" s="196"/>
      <c r="G3" s="196"/>
      <c r="J3" s="196"/>
      <c r="K3" s="196"/>
      <c r="N3" s="196"/>
      <c r="O3" s="196"/>
      <c r="Q3" s="196"/>
      <c r="R3" s="196"/>
    </row>
    <row r="4" spans="2:18" s="197" customFormat="1">
      <c r="B4" s="197" t="s">
        <v>503</v>
      </c>
      <c r="C4" s="200">
        <v>0</v>
      </c>
      <c r="D4" s="197" t="s">
        <v>513</v>
      </c>
      <c r="G4" s="200"/>
      <c r="K4" s="200"/>
      <c r="O4" s="200"/>
      <c r="R4" s="200"/>
    </row>
    <row r="5" spans="2:18" s="197" customFormat="1">
      <c r="B5" s="197" t="s">
        <v>504</v>
      </c>
      <c r="C5" s="200">
        <v>0</v>
      </c>
      <c r="D5" s="197" t="s">
        <v>514</v>
      </c>
      <c r="G5" s="200"/>
      <c r="K5" s="200"/>
      <c r="O5" s="200"/>
      <c r="R5" s="200"/>
    </row>
    <row r="6" spans="2:18">
      <c r="C6" s="3" t="str">
        <f>VLOOKUP(Calculator!R84,fase11,3)</f>
        <v>merk2</v>
      </c>
      <c r="D6" s="3" t="str">
        <f>CONCATENATE(C6,"1")</f>
        <v>merk21</v>
      </c>
    </row>
    <row r="7" spans="2:18">
      <c r="C7" s="12" t="str">
        <f ca="1">IF(ISERROR(VLOOKUP(Calculator!Q86,INDIRECT(Productselectie!C6),1,FALSE)),G1,VLOOKUP(Calculator!Q86,INDIRECT(Productselectie!C6),1,FALSE))</f>
        <v>AlphaESS Smile 3 fase</v>
      </c>
      <c r="J7" s="3"/>
      <c r="K7" s="3"/>
    </row>
    <row r="9" spans="2:18" s="197" customFormat="1">
      <c r="B9" s="199" t="s">
        <v>511</v>
      </c>
      <c r="F9" s="199"/>
      <c r="J9" s="5"/>
      <c r="K9" s="5"/>
      <c r="N9" s="199"/>
      <c r="Q9" s="199"/>
    </row>
    <row r="10" spans="2:18" s="197" customFormat="1"/>
    <row r="11" spans="2:18" s="197" customFormat="1">
      <c r="B11" s="196" t="str">
        <f>B4</f>
        <v>1 fase</v>
      </c>
      <c r="C11" s="196" t="s">
        <v>61</v>
      </c>
      <c r="F11" s="196" t="str">
        <f>B5</f>
        <v>3 fase</v>
      </c>
      <c r="G11" s="196" t="s">
        <v>61</v>
      </c>
      <c r="J11" s="196"/>
      <c r="K11" s="196"/>
      <c r="N11" s="196"/>
      <c r="O11" s="196"/>
      <c r="Q11" s="196"/>
      <c r="R11" s="196"/>
    </row>
    <row r="12" spans="2:18" s="197" customFormat="1">
      <c r="B12" s="197" t="s">
        <v>497</v>
      </c>
      <c r="C12" s="200">
        <v>0</v>
      </c>
      <c r="D12" s="197" t="s">
        <v>515</v>
      </c>
      <c r="F12" s="197" t="s">
        <v>498</v>
      </c>
      <c r="G12" s="200">
        <v>0</v>
      </c>
      <c r="H12" s="197" t="s">
        <v>517</v>
      </c>
      <c r="K12" s="200"/>
      <c r="O12" s="200"/>
      <c r="R12" s="200"/>
    </row>
    <row r="13" spans="2:18" s="197" customFormat="1">
      <c r="B13" s="197" t="s">
        <v>500</v>
      </c>
      <c r="C13" s="200">
        <v>0</v>
      </c>
      <c r="D13" s="197" t="s">
        <v>516</v>
      </c>
      <c r="F13" s="197" t="s">
        <v>499</v>
      </c>
      <c r="G13" s="200">
        <v>0</v>
      </c>
      <c r="H13" s="197" t="s">
        <v>518</v>
      </c>
      <c r="K13" s="200"/>
      <c r="O13" s="200"/>
      <c r="R13" s="200"/>
    </row>
    <row r="14" spans="2:18" s="197" customFormat="1">
      <c r="F14" s="197" t="s">
        <v>501</v>
      </c>
      <c r="G14" s="200">
        <v>0</v>
      </c>
      <c r="H14" s="197" t="s">
        <v>519</v>
      </c>
    </row>
    <row r="15" spans="2:18">
      <c r="C15" s="3" t="str">
        <f ca="1">VLOOKUP(Calculator!Q86,INDIRECT(D6),3)</f>
        <v>omvo3</v>
      </c>
      <c r="D15" s="3" t="str">
        <f ca="1">CONCATENATE(C15,"1")</f>
        <v>omvo31</v>
      </c>
    </row>
    <row r="16" spans="2:18">
      <c r="C16" s="12" t="str">
        <f ca="1">IF(ISERROR(VLOOKUP(Calculator!Q88,INDIRECT(Productselectie!C15),1,FALSE)),G1,VLOOKUP(Calculator!Q88,INDIRECT(Productselectie!C15),1,FALSE))</f>
        <v>10,0 kW (Hybride)</v>
      </c>
    </row>
    <row r="17" spans="2:18">
      <c r="C17" s="200">
        <f ca="1">VLOOKUP(Calculator!Q88,INDIRECT(Productselectie!D15),2)</f>
        <v>0</v>
      </c>
    </row>
    <row r="18" spans="2:18" s="197" customFormat="1">
      <c r="B18" s="201" t="s">
        <v>512</v>
      </c>
      <c r="F18" s="201"/>
      <c r="J18" s="201"/>
      <c r="N18" s="201"/>
      <c r="Q18" s="201"/>
    </row>
    <row r="19" spans="2:18" s="197" customFormat="1"/>
    <row r="20" spans="2:18" s="197" customFormat="1">
      <c r="B20" s="196" t="str">
        <f>B12</f>
        <v>AlphaESS Smile 1 fase</v>
      </c>
      <c r="C20" s="196" t="s">
        <v>61</v>
      </c>
      <c r="F20" s="196" t="str">
        <f>B13</f>
        <v>HYXI HYX 1 fase</v>
      </c>
      <c r="G20" s="196" t="s">
        <v>61</v>
      </c>
      <c r="J20" s="196"/>
      <c r="K20" s="196"/>
      <c r="N20" s="196"/>
      <c r="O20" s="196"/>
      <c r="Q20" s="196"/>
      <c r="R20" s="196"/>
    </row>
    <row r="21" spans="2:18" s="197" customFormat="1">
      <c r="B21" s="197" t="s">
        <v>507</v>
      </c>
      <c r="C21" s="200">
        <v>0</v>
      </c>
      <c r="D21" s="197" t="s">
        <v>520</v>
      </c>
      <c r="F21" s="197" t="s">
        <v>507</v>
      </c>
      <c r="G21" s="200">
        <v>0</v>
      </c>
      <c r="H21" s="197" t="s">
        <v>521</v>
      </c>
      <c r="K21" s="200"/>
      <c r="O21" s="200"/>
      <c r="R21" s="200"/>
    </row>
    <row r="22" spans="2:18" s="197" customFormat="1">
      <c r="C22" s="200"/>
      <c r="G22" s="200"/>
      <c r="K22" s="200"/>
      <c r="O22" s="200"/>
      <c r="R22" s="200"/>
    </row>
    <row r="23" spans="2:18" s="197" customFormat="1"/>
    <row r="24" spans="2:18" s="197" customFormat="1">
      <c r="B24" s="196" t="str">
        <f>F12</f>
        <v>AlphaESS Smile 3 fase</v>
      </c>
      <c r="C24" s="196" t="s">
        <v>61</v>
      </c>
      <c r="F24" s="196" t="str">
        <f>F13</f>
        <v>AplhaESS Storion 3 fase</v>
      </c>
      <c r="G24" s="196" t="s">
        <v>61</v>
      </c>
      <c r="J24" s="196" t="str">
        <f>F14</f>
        <v>HYXI HYX 3 fase</v>
      </c>
      <c r="K24" s="196" t="s">
        <v>61</v>
      </c>
      <c r="N24" s="196"/>
      <c r="O24" s="196"/>
      <c r="Q24" s="196"/>
      <c r="R24" s="196"/>
    </row>
    <row r="25" spans="2:18" s="197" customFormat="1">
      <c r="B25" s="197" t="s">
        <v>505</v>
      </c>
      <c r="C25" s="200">
        <v>0</v>
      </c>
      <c r="D25" s="197" t="s">
        <v>522</v>
      </c>
      <c r="F25" s="197" t="s">
        <v>508</v>
      </c>
      <c r="G25" s="200">
        <v>0</v>
      </c>
      <c r="H25" s="197" t="s">
        <v>524</v>
      </c>
      <c r="J25" s="197" t="s">
        <v>505</v>
      </c>
      <c r="K25" s="200">
        <v>0</v>
      </c>
      <c r="L25" s="197" t="s">
        <v>525</v>
      </c>
      <c r="O25" s="200"/>
      <c r="R25" s="200"/>
    </row>
    <row r="26" spans="2:18" s="197" customFormat="1">
      <c r="B26" s="197" t="s">
        <v>506</v>
      </c>
      <c r="C26" s="200">
        <v>2000</v>
      </c>
      <c r="D26" s="197" t="s">
        <v>523</v>
      </c>
      <c r="G26" s="200"/>
      <c r="J26" s="206" t="s">
        <v>535</v>
      </c>
      <c r="K26" s="200">
        <v>0</v>
      </c>
      <c r="L26" s="197" t="s">
        <v>526</v>
      </c>
      <c r="O26" s="200"/>
      <c r="R26" s="200"/>
    </row>
    <row r="27" spans="2:18">
      <c r="C27" s="3" t="str">
        <f ca="1">VLOOKUP(Calculator!Q88,INDIRECT(D15),3)</f>
        <v>capa3</v>
      </c>
      <c r="D27" s="3"/>
    </row>
    <row r="28" spans="2:18">
      <c r="C28" s="12" t="str">
        <f ca="1">IF(ISERROR(VLOOKUP(Calculator!M90,INDIRECT(Productselectie!C27),1,FALSE)),G1,VLOOKUP(Calculator!M90,INDIRECT(Productselectie!C27),1,FALSE))</f>
        <v>AlphaESS  Smile3,6 binnen 21,85 (3 Fase)</v>
      </c>
    </row>
    <row r="33" spans="2:27">
      <c r="B33" s="198"/>
      <c r="C33" s="198"/>
      <c r="D33" s="198"/>
      <c r="E33" s="198"/>
      <c r="F33" s="198"/>
      <c r="G33" s="198"/>
      <c r="H33" s="198"/>
      <c r="I33" s="198"/>
      <c r="J33" s="198"/>
      <c r="K33" s="198"/>
      <c r="L33" s="198"/>
      <c r="M33" s="198"/>
      <c r="N33" s="198"/>
      <c r="O33" s="198"/>
      <c r="P33" s="198"/>
      <c r="Q33" s="198"/>
      <c r="R33" s="198"/>
      <c r="S33" s="198"/>
      <c r="T33" s="198"/>
      <c r="U33" s="198"/>
      <c r="V33" s="198"/>
      <c r="W33" s="198"/>
      <c r="X33" s="198"/>
      <c r="Y33" s="198"/>
      <c r="Z33" s="198"/>
      <c r="AA33" s="198"/>
    </row>
    <row r="36" spans="2:27">
      <c r="B36" s="198"/>
      <c r="C36" s="198"/>
      <c r="D36" s="198"/>
      <c r="E36" s="198"/>
      <c r="F36" s="198"/>
      <c r="G36" s="198"/>
      <c r="H36" s="198"/>
      <c r="I36" s="198"/>
      <c r="J36" s="198"/>
      <c r="K36" s="198"/>
      <c r="L36" s="198"/>
      <c r="M36" s="198"/>
      <c r="N36" s="198"/>
      <c r="O36" s="198"/>
      <c r="P36" s="198"/>
      <c r="Q36" s="198"/>
      <c r="R36" s="198"/>
      <c r="S36" s="198"/>
      <c r="T36" s="198"/>
      <c r="U36" s="198"/>
      <c r="V36" s="198"/>
      <c r="W36" s="198"/>
      <c r="X36" s="198"/>
      <c r="Y36" s="198"/>
      <c r="Z36" s="198"/>
      <c r="AA36" s="198"/>
    </row>
    <row r="38" spans="2:27">
      <c r="B38" s="198"/>
      <c r="C38" s="198"/>
      <c r="F38" s="198"/>
      <c r="G38" s="198"/>
      <c r="J38" s="198"/>
      <c r="K38" s="198"/>
      <c r="N38" s="198"/>
      <c r="O38" s="198"/>
      <c r="Q38" s="198"/>
      <c r="R38" s="198"/>
    </row>
    <row r="39" spans="2:27">
      <c r="B39" s="198"/>
      <c r="C39" s="198"/>
      <c r="F39" s="198"/>
      <c r="G39" s="198"/>
      <c r="J39" s="198"/>
      <c r="K39" s="198"/>
      <c r="N39" s="198"/>
      <c r="O39" s="198"/>
      <c r="Q39" s="198"/>
      <c r="R39" s="198"/>
    </row>
    <row r="40" spans="2:27">
      <c r="B40" s="198"/>
      <c r="C40" s="198"/>
      <c r="F40" s="198"/>
      <c r="G40" s="198"/>
      <c r="J40" s="198"/>
      <c r="K40" s="198"/>
      <c r="N40" s="198"/>
      <c r="O40" s="198"/>
      <c r="Q40" s="198"/>
      <c r="R40" s="198"/>
    </row>
    <row r="41" spans="2:27">
      <c r="B41" s="198"/>
      <c r="C41" s="198"/>
      <c r="F41" s="198"/>
      <c r="G41" s="198"/>
      <c r="J41" s="198"/>
      <c r="K41" s="198"/>
      <c r="N41" s="198"/>
      <c r="O41" s="198"/>
      <c r="Q41" s="198"/>
      <c r="R41" s="198"/>
    </row>
    <row r="42" spans="2:27">
      <c r="B42" s="198"/>
      <c r="C42" s="198"/>
      <c r="F42" s="198"/>
      <c r="G42" s="198"/>
      <c r="J42" s="198"/>
      <c r="K42" s="198"/>
      <c r="N42" s="198"/>
      <c r="O42" s="198"/>
      <c r="Q42" s="198"/>
      <c r="R42" s="198"/>
    </row>
    <row r="43" spans="2:27">
      <c r="B43" s="198"/>
      <c r="C43" s="198"/>
      <c r="F43" s="198"/>
      <c r="G43" s="198"/>
      <c r="J43" s="198"/>
      <c r="K43" s="198"/>
      <c r="N43" s="198"/>
      <c r="O43" s="198"/>
      <c r="Q43" s="198"/>
      <c r="R43" s="198"/>
    </row>
    <row r="44" spans="2:27">
      <c r="B44" s="198"/>
      <c r="C44" s="198"/>
      <c r="F44" s="198"/>
      <c r="G44" s="198"/>
      <c r="J44" s="198"/>
      <c r="K44" s="198"/>
      <c r="N44" s="198"/>
      <c r="O44" s="198"/>
      <c r="Q44" s="198"/>
      <c r="R44" s="198"/>
    </row>
    <row r="45" spans="2:27">
      <c r="B45" s="198"/>
      <c r="C45" s="198"/>
      <c r="F45" s="198"/>
      <c r="G45" s="198"/>
      <c r="J45" s="198"/>
      <c r="K45" s="198"/>
      <c r="N45" s="198"/>
      <c r="O45" s="198"/>
      <c r="Q45" s="198"/>
      <c r="R45" s="198"/>
    </row>
    <row r="46" spans="2:27">
      <c r="B46" s="198"/>
      <c r="C46" s="198"/>
      <c r="F46" s="198"/>
      <c r="G46" s="198"/>
      <c r="J46" s="198"/>
      <c r="K46" s="198"/>
      <c r="N46" s="198"/>
      <c r="O46" s="198"/>
      <c r="Q46" s="198"/>
      <c r="R46" s="198"/>
    </row>
    <row r="47" spans="2:27">
      <c r="B47" s="198"/>
      <c r="C47" s="198"/>
      <c r="F47" s="198"/>
      <c r="G47" s="198"/>
      <c r="J47" s="198"/>
      <c r="K47" s="198"/>
      <c r="N47" s="198"/>
      <c r="O47" s="198"/>
      <c r="Q47" s="198"/>
      <c r="R47" s="198"/>
    </row>
    <row r="48" spans="2:27">
      <c r="B48" s="198"/>
      <c r="C48" s="198"/>
      <c r="F48" s="198"/>
      <c r="G48" s="198"/>
      <c r="J48" s="198"/>
      <c r="K48" s="198"/>
      <c r="N48" s="198"/>
      <c r="O48" s="198"/>
      <c r="Q48" s="198"/>
      <c r="R48" s="198"/>
    </row>
    <row r="49" spans="2:18">
      <c r="B49" s="198"/>
      <c r="C49" s="198"/>
      <c r="F49" s="198"/>
      <c r="G49" s="198"/>
      <c r="J49" s="198"/>
      <c r="K49" s="198"/>
      <c r="N49" s="198"/>
      <c r="O49" s="198"/>
      <c r="Q49" s="198"/>
      <c r="R49" s="198"/>
    </row>
    <row r="50" spans="2:18">
      <c r="B50" s="198"/>
      <c r="C50" s="198"/>
      <c r="F50" s="198"/>
      <c r="G50" s="198"/>
      <c r="J50" s="198"/>
      <c r="K50" s="198"/>
      <c r="N50" s="198"/>
      <c r="O50" s="198"/>
      <c r="Q50" s="198"/>
      <c r="R50" s="198"/>
    </row>
    <row r="51" spans="2:18">
      <c r="B51" s="198"/>
      <c r="C51" s="198"/>
      <c r="F51" s="198"/>
      <c r="G51" s="198"/>
      <c r="J51" s="198"/>
      <c r="K51" s="198"/>
      <c r="N51" s="198"/>
      <c r="O51" s="198"/>
      <c r="Q51" s="198"/>
      <c r="R51" s="198"/>
    </row>
    <row r="52" spans="2:18">
      <c r="B52" s="198"/>
      <c r="C52" s="198"/>
      <c r="F52" s="198"/>
      <c r="G52" s="198"/>
      <c r="J52" s="198"/>
      <c r="K52" s="198"/>
      <c r="N52" s="198"/>
      <c r="O52" s="198"/>
      <c r="Q52" s="198"/>
      <c r="R52" s="198"/>
    </row>
    <row r="53" spans="2:18">
      <c r="B53" s="198"/>
      <c r="C53" s="198"/>
      <c r="F53" s="198"/>
      <c r="G53" s="198"/>
      <c r="J53" s="198"/>
      <c r="K53" s="198"/>
      <c r="N53" s="198"/>
      <c r="O53" s="198"/>
      <c r="Q53" s="198"/>
      <c r="R53" s="198"/>
    </row>
    <row r="54" spans="2:18">
      <c r="B54" s="198"/>
      <c r="C54" s="198"/>
      <c r="F54" s="198"/>
      <c r="G54" s="198"/>
      <c r="J54" s="198"/>
      <c r="K54" s="198"/>
      <c r="N54" s="198"/>
      <c r="O54" s="198"/>
      <c r="Q54" s="198"/>
      <c r="R54" s="198"/>
    </row>
    <row r="55" spans="2:18">
      <c r="B55" s="198"/>
      <c r="C55" s="198"/>
      <c r="F55" s="198"/>
      <c r="G55" s="198"/>
      <c r="J55" s="198"/>
      <c r="K55" s="198"/>
      <c r="N55" s="198"/>
      <c r="O55" s="198"/>
      <c r="Q55" s="198"/>
      <c r="R55" s="198"/>
    </row>
    <row r="56" spans="2:18">
      <c r="B56" s="198"/>
      <c r="C56" s="198"/>
      <c r="F56" s="198"/>
      <c r="G56" s="198"/>
      <c r="J56" s="198"/>
      <c r="K56" s="198"/>
      <c r="N56" s="198"/>
      <c r="O56" s="198"/>
      <c r="Q56" s="198"/>
      <c r="R56" s="198"/>
    </row>
    <row r="57" spans="2:18">
      <c r="B57" s="198"/>
      <c r="C57" s="198"/>
      <c r="F57" s="198"/>
      <c r="G57" s="198"/>
      <c r="J57" s="198"/>
      <c r="K57" s="198"/>
      <c r="N57" s="198"/>
      <c r="O57" s="198"/>
      <c r="Q57" s="198"/>
      <c r="R57" s="198"/>
    </row>
    <row r="58" spans="2:18">
      <c r="B58" s="198"/>
      <c r="C58" s="198"/>
      <c r="F58" s="198"/>
      <c r="G58" s="198"/>
      <c r="J58" s="198"/>
      <c r="K58" s="198"/>
      <c r="N58" s="198"/>
      <c r="O58" s="198"/>
      <c r="Q58" s="198"/>
      <c r="R58" s="198"/>
    </row>
    <row r="59" spans="2:18">
      <c r="B59" s="198"/>
      <c r="C59" s="198"/>
      <c r="F59" s="198"/>
      <c r="G59" s="198"/>
      <c r="J59" s="198"/>
      <c r="K59" s="198"/>
      <c r="N59" s="198"/>
      <c r="O59" s="198"/>
      <c r="Q59" s="198"/>
      <c r="R59" s="198"/>
    </row>
    <row r="60" spans="2:18">
      <c r="B60" s="198"/>
      <c r="C60" s="198"/>
      <c r="F60" s="198"/>
      <c r="G60" s="198"/>
      <c r="J60" s="198"/>
      <c r="K60" s="198"/>
      <c r="N60" s="198"/>
      <c r="O60" s="198"/>
      <c r="Q60" s="198"/>
      <c r="R60" s="198"/>
    </row>
    <row r="61" spans="2:18">
      <c r="B61" s="198"/>
      <c r="C61" s="198"/>
      <c r="F61" s="198"/>
      <c r="G61" s="198"/>
      <c r="J61" s="198"/>
      <c r="K61" s="198"/>
      <c r="N61" s="198"/>
      <c r="O61" s="198"/>
      <c r="Q61" s="198"/>
      <c r="R61" s="198"/>
    </row>
  </sheetData>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FAE23-FC70-3347-BE8D-DCC549F57D69}">
  <dimension ref="A2:AP58"/>
  <sheetViews>
    <sheetView topLeftCell="B1" zoomScaleNormal="100" workbookViewId="0">
      <pane ySplit="7" topLeftCell="A22" activePane="bottomLeft" state="frozen"/>
      <selection pane="bottomLeft" activeCell="A34" sqref="A34:XFD41"/>
    </sheetView>
  </sheetViews>
  <sheetFormatPr baseColWidth="10" defaultColWidth="11.1640625" defaultRowHeight="16"/>
  <cols>
    <col min="1" max="7" width="4.5" style="202" customWidth="1"/>
    <col min="8" max="8" width="37" style="12" customWidth="1"/>
    <col min="9" max="12" width="15.33203125" style="12" customWidth="1"/>
    <col min="13" max="20" width="11.1640625" style="12"/>
    <col min="21" max="22" width="11.83203125" style="12" bestFit="1" customWidth="1"/>
    <col min="23" max="24" width="11.83203125" style="12" customWidth="1"/>
    <col min="25" max="25" width="13.33203125" style="12" bestFit="1" customWidth="1"/>
    <col min="26" max="26" width="11.83203125" style="12" customWidth="1"/>
    <col min="27" max="27" width="11.1640625" style="12"/>
    <col min="28" max="28" width="9.6640625" customWidth="1"/>
    <col min="29" max="29" width="9.5" customWidth="1"/>
    <col min="30" max="30" width="7.1640625" customWidth="1"/>
    <col min="31" max="31" width="7.6640625" customWidth="1"/>
    <col min="32" max="34" width="7.83203125" customWidth="1"/>
    <col min="35" max="35" width="9" customWidth="1"/>
    <col min="36" max="37" width="7.33203125" customWidth="1"/>
    <col min="38" max="38" width="10.83203125" bestFit="1" customWidth="1"/>
    <col min="39" max="39" width="9.1640625" customWidth="1"/>
    <col min="40" max="40" width="64.1640625" customWidth="1"/>
    <col min="41" max="16384" width="11.1640625" style="12"/>
  </cols>
  <sheetData>
    <row r="2" spans="1:41">
      <c r="AB2" s="399"/>
      <c r="AC2" s="400"/>
      <c r="AD2" s="400"/>
      <c r="AE2" s="400"/>
      <c r="AF2" s="400"/>
      <c r="AG2" s="400"/>
      <c r="AH2" s="400"/>
      <c r="AI2" s="400"/>
      <c r="AJ2" s="400"/>
      <c r="AK2" s="400"/>
      <c r="AL2" s="400"/>
      <c r="AM2" s="400"/>
      <c r="AN2" s="400"/>
    </row>
    <row r="3" spans="1:41">
      <c r="AB3" s="399"/>
      <c r="AC3" s="400"/>
      <c r="AD3" s="400"/>
      <c r="AE3" s="400"/>
      <c r="AF3" s="400"/>
      <c r="AG3" s="400"/>
      <c r="AH3" s="400"/>
      <c r="AI3" s="400"/>
      <c r="AJ3" s="400"/>
      <c r="AK3" s="400"/>
      <c r="AL3" s="400"/>
      <c r="AM3" s="400"/>
      <c r="AN3" s="400"/>
    </row>
    <row r="4" spans="1:41">
      <c r="H4" s="198" t="str">
        <f>I4&amp;" "&amp;M4&amp;" ("&amp;N4&amp;")"</f>
        <v>AlphaESS 20 kW Omvormer (3 Fase)</v>
      </c>
      <c r="I4" s="12" t="s">
        <v>119</v>
      </c>
      <c r="M4" s="198" t="s">
        <v>131</v>
      </c>
      <c r="N4" s="12" t="s">
        <v>118</v>
      </c>
      <c r="O4" s="401"/>
      <c r="P4" s="402"/>
      <c r="Q4" s="402"/>
      <c r="R4" s="402"/>
      <c r="S4" s="402"/>
      <c r="T4" s="402">
        <v>20</v>
      </c>
      <c r="U4" s="403">
        <v>2000</v>
      </c>
      <c r="V4" s="403">
        <v>2000</v>
      </c>
      <c r="W4" s="403">
        <v>2000</v>
      </c>
      <c r="X4" s="403">
        <v>2000</v>
      </c>
      <c r="Y4" s="403">
        <v>2000</v>
      </c>
      <c r="Z4" s="403"/>
      <c r="AB4" s="399"/>
      <c r="AC4" s="400"/>
      <c r="AD4" s="400"/>
      <c r="AE4" s="400"/>
      <c r="AF4" s="400"/>
      <c r="AG4" s="400"/>
      <c r="AH4" s="400"/>
      <c r="AI4" s="400"/>
      <c r="AJ4" s="400"/>
      <c r="AK4" s="400"/>
      <c r="AL4" s="400"/>
      <c r="AM4" s="400"/>
      <c r="AN4" s="400"/>
    </row>
    <row r="5" spans="1:41">
      <c r="AB5" s="399"/>
      <c r="AC5" s="400"/>
      <c r="AD5" s="400"/>
      <c r="AE5" s="400"/>
      <c r="AF5" s="400"/>
      <c r="AG5" s="400"/>
      <c r="AH5" s="400"/>
      <c r="AI5" s="400"/>
      <c r="AJ5" s="400"/>
      <c r="AK5" s="400"/>
      <c r="AL5" s="400"/>
      <c r="AM5" s="400"/>
      <c r="AN5" s="400"/>
    </row>
    <row r="6" spans="1:41">
      <c r="A6" s="404"/>
      <c r="B6" s="404"/>
      <c r="C6" s="404"/>
      <c r="D6" s="404" t="s">
        <v>528</v>
      </c>
      <c r="E6" s="404"/>
      <c r="F6" s="404"/>
      <c r="G6" s="404"/>
      <c r="W6" s="405" t="s">
        <v>538</v>
      </c>
      <c r="X6" s="405" t="s">
        <v>538</v>
      </c>
      <c r="Y6" s="405" t="s">
        <v>538</v>
      </c>
      <c r="Z6" s="405" t="s">
        <v>538</v>
      </c>
      <c r="AB6" s="399"/>
      <c r="AC6" s="400"/>
      <c r="AD6" s="400"/>
      <c r="AE6" s="400"/>
      <c r="AF6" s="400"/>
      <c r="AG6" s="400"/>
      <c r="AH6" s="400"/>
      <c r="AI6" s="400"/>
      <c r="AJ6" s="400"/>
      <c r="AK6" s="400"/>
      <c r="AL6" s="400"/>
      <c r="AM6" s="400"/>
      <c r="AN6" s="400"/>
    </row>
    <row r="7" spans="1:41" ht="56">
      <c r="A7" s="404">
        <v>1</v>
      </c>
      <c r="B7" s="404">
        <v>2</v>
      </c>
      <c r="C7" s="404">
        <v>3</v>
      </c>
      <c r="D7" s="404">
        <v>4</v>
      </c>
      <c r="E7" s="404">
        <v>5</v>
      </c>
      <c r="F7" s="404">
        <v>6</v>
      </c>
      <c r="G7" s="404">
        <v>7</v>
      </c>
      <c r="H7" s="405" t="s">
        <v>122</v>
      </c>
      <c r="I7" s="405" t="s">
        <v>117</v>
      </c>
      <c r="J7" s="405" t="s">
        <v>439</v>
      </c>
      <c r="K7" s="405" t="s">
        <v>469</v>
      </c>
      <c r="L7" s="405" t="s">
        <v>465</v>
      </c>
      <c r="M7" s="405" t="s">
        <v>0</v>
      </c>
      <c r="N7" s="405" t="s">
        <v>79</v>
      </c>
      <c r="O7" s="405" t="s">
        <v>190</v>
      </c>
      <c r="P7" s="405" t="s">
        <v>121</v>
      </c>
      <c r="Q7" s="405" t="s">
        <v>440</v>
      </c>
      <c r="R7" s="405" t="s">
        <v>180</v>
      </c>
      <c r="S7" s="405" t="s">
        <v>10</v>
      </c>
      <c r="T7" s="405" t="s">
        <v>39</v>
      </c>
      <c r="U7" s="405" t="s">
        <v>441</v>
      </c>
      <c r="V7" s="405" t="s">
        <v>442</v>
      </c>
      <c r="W7" s="405" t="s">
        <v>536</v>
      </c>
      <c r="X7" s="405" t="s">
        <v>537</v>
      </c>
      <c r="Y7" s="405" t="s">
        <v>51</v>
      </c>
      <c r="Z7" s="405" t="s">
        <v>539</v>
      </c>
      <c r="AA7" s="405" t="s">
        <v>446</v>
      </c>
      <c r="AB7" s="406" t="s">
        <v>568</v>
      </c>
      <c r="AC7" s="406" t="s">
        <v>569</v>
      </c>
      <c r="AD7" s="406" t="s">
        <v>570</v>
      </c>
      <c r="AE7" s="406" t="s">
        <v>571</v>
      </c>
      <c r="AF7" s="406" t="s">
        <v>572</v>
      </c>
      <c r="AG7" s="406" t="s">
        <v>573</v>
      </c>
      <c r="AH7" s="406" t="s">
        <v>574</v>
      </c>
      <c r="AI7" s="406" t="s">
        <v>575</v>
      </c>
      <c r="AJ7" s="406" t="s">
        <v>576</v>
      </c>
      <c r="AK7" s="406" t="s">
        <v>577</v>
      </c>
      <c r="AL7" s="406" t="s">
        <v>578</v>
      </c>
      <c r="AM7" s="406" t="s">
        <v>579</v>
      </c>
      <c r="AN7" s="406" t="s">
        <v>580</v>
      </c>
      <c r="AO7" s="12" t="s">
        <v>645</v>
      </c>
    </row>
    <row r="8" spans="1:41" ht="17">
      <c r="A8" s="202">
        <v>1</v>
      </c>
      <c r="H8" s="417" t="str">
        <f>I8&amp;" "&amp;" "&amp;J8&amp;" "&amp;M8&amp;" ("&amp;N8&amp;")"</f>
        <v>AlphaESS  Smile3,6 binnen 3,64 (1 Fase)</v>
      </c>
      <c r="I8" s="12" t="s">
        <v>119</v>
      </c>
      <c r="J8" s="407" t="s">
        <v>565</v>
      </c>
      <c r="K8" s="198">
        <f t="shared" ref="K8:K11" si="0">(46/12)*0.95</f>
        <v>3.6416666666666666</v>
      </c>
      <c r="L8" s="12">
        <v>1</v>
      </c>
      <c r="M8" s="198">
        <f>ROUND(K8*L8,2)</f>
        <v>3.64</v>
      </c>
      <c r="N8" s="12" t="s">
        <v>120</v>
      </c>
      <c r="O8" s="401">
        <v>0.96</v>
      </c>
      <c r="P8" s="402">
        <v>10000</v>
      </c>
      <c r="Q8" s="402">
        <f t="shared" ref="Q8:Q10" si="1">P8</f>
        <v>10000</v>
      </c>
      <c r="R8" s="408">
        <v>0.7</v>
      </c>
      <c r="S8" s="402">
        <v>10</v>
      </c>
      <c r="T8" s="402">
        <v>5</v>
      </c>
      <c r="U8" s="403">
        <v>7499</v>
      </c>
      <c r="V8" s="403">
        <f t="shared" ref="V8:V10" si="2">U8/1.21</f>
        <v>6197.5206611570247</v>
      </c>
      <c r="W8" s="403">
        <f>U8-X8</f>
        <v>6499</v>
      </c>
      <c r="X8" s="403">
        <v>1000</v>
      </c>
      <c r="Y8" s="403">
        <f t="shared" ref="Y8:Y10" si="3">U8-Z8</f>
        <v>7499</v>
      </c>
      <c r="Z8" s="403"/>
      <c r="AA8" s="12" t="s">
        <v>448</v>
      </c>
      <c r="AB8" s="399">
        <f>U8/M8</f>
        <v>2060.164835164835</v>
      </c>
      <c r="AC8" s="400" t="s">
        <v>581</v>
      </c>
      <c r="AD8" s="400" t="s">
        <v>582</v>
      </c>
      <c r="AE8" s="400" t="s">
        <v>67</v>
      </c>
      <c r="AF8" s="400">
        <v>610</v>
      </c>
      <c r="AG8" s="400">
        <v>213</v>
      </c>
      <c r="AH8" s="400">
        <v>435</v>
      </c>
      <c r="AI8" s="400">
        <v>851</v>
      </c>
      <c r="AJ8" s="400">
        <v>39.200000000000003</v>
      </c>
      <c r="AK8" s="400">
        <v>4</v>
      </c>
      <c r="AL8" s="400"/>
      <c r="AM8" s="400"/>
      <c r="AN8" s="400" t="s">
        <v>583</v>
      </c>
      <c r="AO8" s="425"/>
    </row>
    <row r="9" spans="1:41" ht="17">
      <c r="A9" s="202">
        <v>1</v>
      </c>
      <c r="H9" s="198" t="str">
        <f t="shared" ref="H9:H10" si="4">I9&amp;" "&amp;" "&amp;J9&amp;" "&amp;M9&amp;" ("&amp;N9&amp;")"</f>
        <v>AlphaESS  Smile3,6 binnen 7,28 (1 Fase)</v>
      </c>
      <c r="I9" s="12" t="s">
        <v>119</v>
      </c>
      <c r="J9" s="407" t="s">
        <v>565</v>
      </c>
      <c r="K9" s="198">
        <f t="shared" si="0"/>
        <v>3.6416666666666666</v>
      </c>
      <c r="L9" s="12">
        <v>2</v>
      </c>
      <c r="M9" s="198">
        <f t="shared" ref="M9:M56" si="5">ROUND(K9*L9,2)</f>
        <v>7.28</v>
      </c>
      <c r="N9" s="12" t="s">
        <v>120</v>
      </c>
      <c r="O9" s="401">
        <v>0.96</v>
      </c>
      <c r="P9" s="402">
        <v>10000</v>
      </c>
      <c r="Q9" s="402">
        <f t="shared" si="1"/>
        <v>10000</v>
      </c>
      <c r="R9" s="408">
        <v>0.7</v>
      </c>
      <c r="S9" s="402">
        <v>10</v>
      </c>
      <c r="T9" s="402">
        <v>5</v>
      </c>
      <c r="U9" s="403">
        <v>8999</v>
      </c>
      <c r="V9" s="403">
        <f t="shared" si="2"/>
        <v>7437.1900826446281</v>
      </c>
      <c r="W9" s="403">
        <f t="shared" ref="W9:W56" si="6">U9-X9</f>
        <v>7999</v>
      </c>
      <c r="X9" s="403">
        <v>1000</v>
      </c>
      <c r="Y9" s="403">
        <f t="shared" si="3"/>
        <v>8999</v>
      </c>
      <c r="Z9" s="403"/>
      <c r="AA9" s="12" t="s">
        <v>448</v>
      </c>
      <c r="AB9" s="399">
        <f t="shared" ref="AB9:AB56" si="7">U9/M9</f>
        <v>1236.1263736263736</v>
      </c>
      <c r="AC9" s="400" t="s">
        <v>581</v>
      </c>
      <c r="AD9" s="400" t="s">
        <v>582</v>
      </c>
      <c r="AE9" s="400" t="s">
        <v>67</v>
      </c>
      <c r="AF9" s="400">
        <v>610</v>
      </c>
      <c r="AG9" s="400">
        <v>213</v>
      </c>
      <c r="AH9" s="400">
        <v>435</v>
      </c>
      <c r="AI9" s="400">
        <v>1286</v>
      </c>
      <c r="AJ9" s="400">
        <v>39.200000000000003</v>
      </c>
      <c r="AK9" s="400">
        <v>4</v>
      </c>
      <c r="AL9" s="400"/>
      <c r="AM9" s="400"/>
      <c r="AN9" s="400"/>
      <c r="AO9" s="425"/>
    </row>
    <row r="10" spans="1:41" ht="17">
      <c r="A10" s="202">
        <v>1</v>
      </c>
      <c r="H10" s="198" t="str">
        <f t="shared" si="4"/>
        <v>AlphaESS  Smile3,6 binnen 10,93 (1 Fase)</v>
      </c>
      <c r="I10" s="12" t="s">
        <v>119</v>
      </c>
      <c r="J10" s="407" t="s">
        <v>565</v>
      </c>
      <c r="K10" s="198">
        <f t="shared" si="0"/>
        <v>3.6416666666666666</v>
      </c>
      <c r="L10" s="12">
        <v>3</v>
      </c>
      <c r="M10" s="198">
        <f t="shared" si="5"/>
        <v>10.93</v>
      </c>
      <c r="N10" s="12" t="s">
        <v>120</v>
      </c>
      <c r="O10" s="401">
        <v>0.96</v>
      </c>
      <c r="P10" s="402">
        <v>10000</v>
      </c>
      <c r="Q10" s="402">
        <f t="shared" si="1"/>
        <v>10000</v>
      </c>
      <c r="R10" s="408">
        <v>0.7</v>
      </c>
      <c r="S10" s="402">
        <v>10</v>
      </c>
      <c r="T10" s="402">
        <v>5</v>
      </c>
      <c r="U10" s="403">
        <v>10499</v>
      </c>
      <c r="V10" s="403">
        <f t="shared" si="2"/>
        <v>8676.8595041322315</v>
      </c>
      <c r="W10" s="403">
        <f t="shared" si="6"/>
        <v>9499</v>
      </c>
      <c r="X10" s="403">
        <v>1000</v>
      </c>
      <c r="Y10" s="403">
        <f t="shared" si="3"/>
        <v>10499</v>
      </c>
      <c r="Z10" s="403"/>
      <c r="AA10" s="12" t="s">
        <v>448</v>
      </c>
      <c r="AB10" s="399">
        <f t="shared" si="7"/>
        <v>960.5672461116194</v>
      </c>
      <c r="AC10" s="400" t="s">
        <v>581</v>
      </c>
      <c r="AD10" s="400" t="s">
        <v>582</v>
      </c>
      <c r="AE10" s="400" t="s">
        <v>67</v>
      </c>
      <c r="AF10" s="400">
        <v>610</v>
      </c>
      <c r="AG10" s="400">
        <v>213</v>
      </c>
      <c r="AH10" s="400">
        <v>435</v>
      </c>
      <c r="AI10" s="400">
        <v>1721</v>
      </c>
      <c r="AJ10" s="400">
        <v>39.200000000000003</v>
      </c>
      <c r="AK10" s="400">
        <v>4</v>
      </c>
      <c r="AL10" s="400"/>
      <c r="AM10" s="400"/>
      <c r="AN10" s="400"/>
      <c r="AO10" s="425"/>
    </row>
    <row r="11" spans="1:41" ht="17">
      <c r="A11" s="202">
        <v>1</v>
      </c>
      <c r="H11" s="198" t="str">
        <f t="shared" ref="H11:H15" si="8">I11&amp;" "&amp;" "&amp;J11&amp;" "&amp;M11&amp;" ("&amp;N11&amp;")"</f>
        <v>AlphaESS  Smile3,6 binnen 14,57 (1 Fase)</v>
      </c>
      <c r="I11" s="12" t="s">
        <v>119</v>
      </c>
      <c r="J11" s="407" t="s">
        <v>565</v>
      </c>
      <c r="K11" s="198">
        <f t="shared" si="0"/>
        <v>3.6416666666666666</v>
      </c>
      <c r="L11" s="12">
        <v>4</v>
      </c>
      <c r="M11" s="198">
        <f t="shared" si="5"/>
        <v>14.57</v>
      </c>
      <c r="N11" s="12" t="s">
        <v>120</v>
      </c>
      <c r="O11" s="401">
        <v>0.96</v>
      </c>
      <c r="P11" s="402">
        <v>10000</v>
      </c>
      <c r="Q11" s="402">
        <v>10000</v>
      </c>
      <c r="R11" s="408">
        <v>0.7</v>
      </c>
      <c r="S11" s="402">
        <v>10</v>
      </c>
      <c r="T11" s="402">
        <v>5</v>
      </c>
      <c r="U11" s="403">
        <v>11999</v>
      </c>
      <c r="V11" s="403">
        <f t="shared" ref="V11:V15" si="9">U11/1.21</f>
        <v>9916.5289256198357</v>
      </c>
      <c r="W11" s="403">
        <f t="shared" ref="W11:W15" si="10">U11-X11</f>
        <v>10999</v>
      </c>
      <c r="X11" s="403">
        <v>1000</v>
      </c>
      <c r="Y11" s="403">
        <f t="shared" ref="Y11:Y15" si="11">U11-Z11</f>
        <v>11999</v>
      </c>
      <c r="Z11" s="403"/>
      <c r="AA11" s="12" t="s">
        <v>448</v>
      </c>
      <c r="AB11" s="399">
        <f t="shared" si="7"/>
        <v>823.54152367879203</v>
      </c>
      <c r="AC11" s="400" t="s">
        <v>581</v>
      </c>
      <c r="AD11" s="400" t="s">
        <v>582</v>
      </c>
      <c r="AE11" s="400" t="s">
        <v>67</v>
      </c>
      <c r="AF11" s="400">
        <v>610</v>
      </c>
      <c r="AG11" s="400">
        <v>213</v>
      </c>
      <c r="AH11" s="400">
        <v>435</v>
      </c>
      <c r="AI11" s="400">
        <v>2156</v>
      </c>
      <c r="AJ11" s="400">
        <v>39.200000000000003</v>
      </c>
      <c r="AK11" s="400">
        <v>4</v>
      </c>
      <c r="AL11" s="400"/>
      <c r="AM11" s="400"/>
      <c r="AN11" s="400" t="s">
        <v>584</v>
      </c>
      <c r="AO11" s="425"/>
    </row>
    <row r="12" spans="1:41" ht="17">
      <c r="A12" s="202">
        <v>1</v>
      </c>
      <c r="H12" s="198" t="str">
        <f t="shared" si="8"/>
        <v>AlphaESS  Smile9,3 buiten 9,3 (1 Fase)</v>
      </c>
      <c r="I12" s="12" t="s">
        <v>119</v>
      </c>
      <c r="J12" s="407" t="s">
        <v>566</v>
      </c>
      <c r="K12" s="198">
        <v>9.3000000000000007</v>
      </c>
      <c r="L12" s="12">
        <v>1</v>
      </c>
      <c r="M12" s="198">
        <f t="shared" si="5"/>
        <v>9.3000000000000007</v>
      </c>
      <c r="N12" s="12" t="s">
        <v>120</v>
      </c>
      <c r="O12" s="401">
        <v>0.98</v>
      </c>
      <c r="P12" s="402">
        <v>10000</v>
      </c>
      <c r="Q12" s="402">
        <v>10000</v>
      </c>
      <c r="R12" s="408">
        <v>0.7</v>
      </c>
      <c r="S12" s="402">
        <v>10</v>
      </c>
      <c r="T12" s="402">
        <v>10</v>
      </c>
      <c r="U12" s="403">
        <f>5999+L12*3000</f>
        <v>8999</v>
      </c>
      <c r="V12" s="403">
        <f t="shared" si="9"/>
        <v>7437.1900826446281</v>
      </c>
      <c r="W12" s="403">
        <f t="shared" si="10"/>
        <v>7999</v>
      </c>
      <c r="X12" s="403">
        <v>1000</v>
      </c>
      <c r="Y12" s="403">
        <f t="shared" si="11"/>
        <v>8999</v>
      </c>
      <c r="Z12" s="403"/>
      <c r="AA12" s="12" t="s">
        <v>448</v>
      </c>
      <c r="AB12" s="399">
        <f t="shared" si="7"/>
        <v>967.63440860215042</v>
      </c>
      <c r="AC12" s="400" t="s">
        <v>581</v>
      </c>
      <c r="AD12" s="400" t="s">
        <v>581</v>
      </c>
      <c r="AE12" s="400" t="s">
        <v>52</v>
      </c>
      <c r="AF12" s="400">
        <v>610</v>
      </c>
      <c r="AG12" s="400">
        <v>210</v>
      </c>
      <c r="AH12" s="400">
        <v>634</v>
      </c>
      <c r="AI12" s="400">
        <v>850</v>
      </c>
      <c r="AJ12" s="400">
        <v>81</v>
      </c>
      <c r="AK12" s="400">
        <v>3</v>
      </c>
      <c r="AL12" s="400"/>
      <c r="AM12" s="400"/>
      <c r="AN12" s="400" t="s">
        <v>585</v>
      </c>
      <c r="AO12" s="425"/>
    </row>
    <row r="13" spans="1:41" ht="17">
      <c r="A13" s="202">
        <v>1</v>
      </c>
      <c r="H13" s="198" t="str">
        <f t="shared" si="8"/>
        <v>AlphaESS  Smile9,3 buiten 18,6 (1 Fase)</v>
      </c>
      <c r="I13" s="12" t="s">
        <v>119</v>
      </c>
      <c r="J13" s="407" t="s">
        <v>566</v>
      </c>
      <c r="K13" s="198">
        <v>9.3000000000000007</v>
      </c>
      <c r="L13" s="12">
        <v>2</v>
      </c>
      <c r="M13" s="198">
        <f t="shared" si="5"/>
        <v>18.600000000000001</v>
      </c>
      <c r="N13" s="12" t="s">
        <v>120</v>
      </c>
      <c r="O13" s="401">
        <v>0.98</v>
      </c>
      <c r="P13" s="402">
        <v>10000</v>
      </c>
      <c r="Q13" s="402">
        <v>10000</v>
      </c>
      <c r="R13" s="408">
        <v>0.7</v>
      </c>
      <c r="S13" s="402">
        <v>10</v>
      </c>
      <c r="T13" s="402">
        <v>10</v>
      </c>
      <c r="U13" s="403">
        <f>5999+L13*3000</f>
        <v>11999</v>
      </c>
      <c r="V13" s="403">
        <f t="shared" si="9"/>
        <v>9916.5289256198357</v>
      </c>
      <c r="W13" s="403">
        <f t="shared" si="10"/>
        <v>10999</v>
      </c>
      <c r="X13" s="403">
        <v>1000</v>
      </c>
      <c r="Y13" s="403">
        <f t="shared" si="11"/>
        <v>11999</v>
      </c>
      <c r="Z13" s="403"/>
      <c r="AA13" s="12" t="s">
        <v>448</v>
      </c>
      <c r="AB13" s="399">
        <f t="shared" si="7"/>
        <v>645.10752688172033</v>
      </c>
      <c r="AC13" s="400" t="s">
        <v>581</v>
      </c>
      <c r="AD13" s="400" t="s">
        <v>581</v>
      </c>
      <c r="AE13" s="400" t="s">
        <v>52</v>
      </c>
      <c r="AF13" s="400">
        <v>610</v>
      </c>
      <c r="AG13" s="400">
        <v>210</v>
      </c>
      <c r="AH13" s="400">
        <v>634</v>
      </c>
      <c r="AI13" s="400">
        <v>1068</v>
      </c>
      <c r="AJ13" s="400">
        <v>81</v>
      </c>
      <c r="AK13" s="400">
        <v>3</v>
      </c>
      <c r="AL13" s="400"/>
      <c r="AM13" s="400"/>
      <c r="AN13" s="400"/>
      <c r="AO13" s="425"/>
    </row>
    <row r="14" spans="1:41" ht="17">
      <c r="A14" s="202">
        <v>1</v>
      </c>
      <c r="H14" s="198" t="str">
        <f t="shared" si="8"/>
        <v>AlphaESS  Smile9,3 buiten 27,9 (1 Fase)</v>
      </c>
      <c r="I14" s="12" t="s">
        <v>119</v>
      </c>
      <c r="J14" s="407" t="s">
        <v>566</v>
      </c>
      <c r="K14" s="198">
        <v>9.3000000000000007</v>
      </c>
      <c r="L14" s="12">
        <v>3</v>
      </c>
      <c r="M14" s="198">
        <f t="shared" si="5"/>
        <v>27.9</v>
      </c>
      <c r="N14" s="12" t="s">
        <v>120</v>
      </c>
      <c r="O14" s="401">
        <v>0.98</v>
      </c>
      <c r="P14" s="402">
        <v>10000</v>
      </c>
      <c r="Q14" s="402">
        <v>10000</v>
      </c>
      <c r="R14" s="408">
        <v>0.7</v>
      </c>
      <c r="S14" s="402">
        <v>10</v>
      </c>
      <c r="T14" s="402">
        <v>10</v>
      </c>
      <c r="U14" s="403">
        <f t="shared" ref="U14:U15" si="12">5999+L14*3000</f>
        <v>14999</v>
      </c>
      <c r="V14" s="403">
        <f t="shared" si="9"/>
        <v>12395.867768595042</v>
      </c>
      <c r="W14" s="403">
        <f t="shared" si="10"/>
        <v>13999</v>
      </c>
      <c r="X14" s="403">
        <v>1000</v>
      </c>
      <c r="Y14" s="403">
        <f t="shared" si="11"/>
        <v>13999</v>
      </c>
      <c r="Z14" s="403">
        <v>1000</v>
      </c>
      <c r="AA14" s="12" t="s">
        <v>448</v>
      </c>
      <c r="AB14" s="399">
        <f t="shared" si="7"/>
        <v>537.59856630824379</v>
      </c>
      <c r="AC14" s="400" t="s">
        <v>581</v>
      </c>
      <c r="AD14" s="400" t="s">
        <v>581</v>
      </c>
      <c r="AE14" s="400" t="s">
        <v>52</v>
      </c>
      <c r="AF14" s="400">
        <v>610</v>
      </c>
      <c r="AG14" s="400">
        <v>210</v>
      </c>
      <c r="AH14" s="400">
        <v>634</v>
      </c>
      <c r="AI14" s="400">
        <v>1286</v>
      </c>
      <c r="AJ14" s="400">
        <v>81</v>
      </c>
      <c r="AK14" s="400">
        <v>3</v>
      </c>
      <c r="AL14" s="400"/>
      <c r="AM14" s="400"/>
      <c r="AN14" s="400" t="s">
        <v>586</v>
      </c>
      <c r="AO14" s="425"/>
    </row>
    <row r="15" spans="1:41" ht="17">
      <c r="A15" s="202">
        <v>1</v>
      </c>
      <c r="H15" s="198" t="str">
        <f t="shared" si="8"/>
        <v>AlphaESS  Smile9,3 buiten 37,2 (1 Fase)</v>
      </c>
      <c r="I15" s="12" t="s">
        <v>119</v>
      </c>
      <c r="J15" s="407" t="s">
        <v>566</v>
      </c>
      <c r="K15" s="198">
        <v>9.3000000000000007</v>
      </c>
      <c r="L15" s="12">
        <v>4</v>
      </c>
      <c r="M15" s="198">
        <f t="shared" si="5"/>
        <v>37.200000000000003</v>
      </c>
      <c r="N15" s="12" t="s">
        <v>120</v>
      </c>
      <c r="O15" s="401">
        <v>0.98</v>
      </c>
      <c r="P15" s="402">
        <v>10000</v>
      </c>
      <c r="Q15" s="402">
        <v>10000</v>
      </c>
      <c r="R15" s="408">
        <v>0.7</v>
      </c>
      <c r="S15" s="402">
        <v>10</v>
      </c>
      <c r="T15" s="402">
        <v>10</v>
      </c>
      <c r="U15" s="403">
        <f t="shared" si="12"/>
        <v>17999</v>
      </c>
      <c r="V15" s="403">
        <f t="shared" si="9"/>
        <v>14875.206611570249</v>
      </c>
      <c r="W15" s="403">
        <f t="shared" si="10"/>
        <v>16999</v>
      </c>
      <c r="X15" s="403">
        <v>1000</v>
      </c>
      <c r="Y15" s="403">
        <f t="shared" si="11"/>
        <v>17999</v>
      </c>
      <c r="Z15" s="403"/>
      <c r="AA15" s="12" t="s">
        <v>448</v>
      </c>
      <c r="AB15" s="399">
        <f t="shared" si="7"/>
        <v>483.84408602150535</v>
      </c>
      <c r="AC15" s="400" t="s">
        <v>581</v>
      </c>
      <c r="AD15" s="400" t="s">
        <v>581</v>
      </c>
      <c r="AE15" s="400" t="s">
        <v>52</v>
      </c>
      <c r="AF15" s="400">
        <v>1420</v>
      </c>
      <c r="AG15" s="400">
        <v>210</v>
      </c>
      <c r="AH15" s="400">
        <v>634</v>
      </c>
      <c r="AI15" s="400">
        <v>1684</v>
      </c>
      <c r="AJ15" s="400">
        <v>81</v>
      </c>
      <c r="AK15" s="400">
        <v>3</v>
      </c>
      <c r="AL15" s="400"/>
      <c r="AM15" s="400"/>
      <c r="AN15" s="400" t="s">
        <v>587</v>
      </c>
      <c r="AO15" s="425">
        <f>Y15-Y15/1.21-5*15*M15-4*50</f>
        <v>133.79338842975085</v>
      </c>
    </row>
    <row r="16" spans="1:41" ht="17">
      <c r="C16" s="202">
        <v>3</v>
      </c>
      <c r="H16" s="198" t="str">
        <f t="shared" ref="H16" si="13">I16&amp;" "&amp;" "&amp;J16&amp;" "&amp;M16&amp;" ("&amp;N16&amp;")"</f>
        <v>AlphaESS  Smile3,6 binnen 3,64 (3 Fase)</v>
      </c>
      <c r="I16" s="12" t="s">
        <v>119</v>
      </c>
      <c r="J16" s="407" t="s">
        <v>565</v>
      </c>
      <c r="K16" s="198">
        <f>(46/12)*0.95</f>
        <v>3.6416666666666666</v>
      </c>
      <c r="L16" s="12">
        <v>1</v>
      </c>
      <c r="M16" s="198">
        <f t="shared" si="5"/>
        <v>3.64</v>
      </c>
      <c r="N16" s="12" t="s">
        <v>118</v>
      </c>
      <c r="O16" s="401">
        <v>0.96</v>
      </c>
      <c r="P16" s="402">
        <v>10000</v>
      </c>
      <c r="Q16" s="402">
        <f>P16</f>
        <v>10000</v>
      </c>
      <c r="R16" s="408">
        <v>0.7</v>
      </c>
      <c r="S16" s="402">
        <v>10</v>
      </c>
      <c r="T16" s="402">
        <v>10</v>
      </c>
      <c r="U16" s="403">
        <v>7499</v>
      </c>
      <c r="V16" s="403">
        <f>U16/1.21</f>
        <v>6197.5206611570247</v>
      </c>
      <c r="W16" s="403">
        <f t="shared" si="6"/>
        <v>6499</v>
      </c>
      <c r="X16" s="403">
        <v>1000</v>
      </c>
      <c r="Y16" s="403">
        <f>U16-Z16</f>
        <v>7499</v>
      </c>
      <c r="Z16" s="403"/>
      <c r="AA16" s="12" t="s">
        <v>448</v>
      </c>
      <c r="AB16" s="399">
        <f t="shared" si="7"/>
        <v>2060.164835164835</v>
      </c>
      <c r="AC16" s="400" t="s">
        <v>581</v>
      </c>
      <c r="AD16" s="400" t="s">
        <v>582</v>
      </c>
      <c r="AE16" s="400" t="s">
        <v>67</v>
      </c>
      <c r="AF16" s="400">
        <v>610</v>
      </c>
      <c r="AG16" s="400">
        <v>213</v>
      </c>
      <c r="AH16" s="400">
        <v>435</v>
      </c>
      <c r="AI16" s="400">
        <v>851</v>
      </c>
      <c r="AJ16" s="400">
        <v>39.200000000000003</v>
      </c>
      <c r="AK16" s="400">
        <v>4</v>
      </c>
      <c r="AL16" s="400"/>
      <c r="AM16" s="400"/>
      <c r="AN16" s="400" t="s">
        <v>588</v>
      </c>
      <c r="AO16" s="425"/>
    </row>
    <row r="17" spans="3:41" ht="17">
      <c r="C17" s="202">
        <v>3</v>
      </c>
      <c r="H17" s="198" t="str">
        <f t="shared" ref="H17:H56" si="14">I17&amp;" "&amp;" "&amp;J17&amp;" "&amp;M17&amp;" ("&amp;N17&amp;")"</f>
        <v>AlphaESS  Smile3,6 binnen 7,28 (3 Fase)</v>
      </c>
      <c r="I17" s="12" t="s">
        <v>119</v>
      </c>
      <c r="J17" s="407" t="s">
        <v>565</v>
      </c>
      <c r="K17" s="198">
        <f t="shared" ref="K17:K24" si="15">(46/12)*0.95</f>
        <v>3.6416666666666666</v>
      </c>
      <c r="L17" s="12">
        <v>2</v>
      </c>
      <c r="M17" s="198">
        <f t="shared" si="5"/>
        <v>7.28</v>
      </c>
      <c r="N17" s="12" t="s">
        <v>118</v>
      </c>
      <c r="O17" s="401">
        <v>0.96</v>
      </c>
      <c r="P17" s="402">
        <v>10000</v>
      </c>
      <c r="Q17" s="402">
        <f>P17</f>
        <v>10000</v>
      </c>
      <c r="R17" s="408">
        <v>0.7</v>
      </c>
      <c r="S17" s="402">
        <v>10</v>
      </c>
      <c r="T17" s="402">
        <v>10</v>
      </c>
      <c r="U17" s="403">
        <v>8999</v>
      </c>
      <c r="V17" s="403">
        <f>U17/1.21</f>
        <v>7437.1900826446281</v>
      </c>
      <c r="W17" s="403">
        <f t="shared" si="6"/>
        <v>7999</v>
      </c>
      <c r="X17" s="403">
        <v>1000</v>
      </c>
      <c r="Y17" s="403">
        <f t="shared" ref="Y17:Y56" si="16">U17-Z17</f>
        <v>8999</v>
      </c>
      <c r="Z17" s="403"/>
      <c r="AA17" s="12" t="s">
        <v>448</v>
      </c>
      <c r="AB17" s="399">
        <f t="shared" si="7"/>
        <v>1236.1263736263736</v>
      </c>
      <c r="AC17" s="400" t="s">
        <v>581</v>
      </c>
      <c r="AD17" s="400" t="s">
        <v>582</v>
      </c>
      <c r="AE17" s="400" t="s">
        <v>67</v>
      </c>
      <c r="AF17" s="400">
        <v>610</v>
      </c>
      <c r="AG17" s="400">
        <v>213</v>
      </c>
      <c r="AH17" s="400">
        <v>435</v>
      </c>
      <c r="AI17" s="400">
        <v>1286</v>
      </c>
      <c r="AJ17" s="400">
        <v>39.200000000000003</v>
      </c>
      <c r="AK17" s="400">
        <v>4</v>
      </c>
      <c r="AL17" s="400"/>
      <c r="AM17" s="400"/>
      <c r="AN17" s="400"/>
      <c r="AO17" s="425"/>
    </row>
    <row r="18" spans="3:41" ht="17">
      <c r="C18" s="202">
        <v>3</v>
      </c>
      <c r="H18" s="198" t="str">
        <f t="shared" si="14"/>
        <v>AlphaESS  Smile3,6 binnen 10,93 (3 Fase)</v>
      </c>
      <c r="I18" s="12" t="s">
        <v>119</v>
      </c>
      <c r="J18" s="407" t="s">
        <v>565</v>
      </c>
      <c r="K18" s="198">
        <f t="shared" si="15"/>
        <v>3.6416666666666666</v>
      </c>
      <c r="L18" s="12">
        <v>3</v>
      </c>
      <c r="M18" s="198">
        <f t="shared" si="5"/>
        <v>10.93</v>
      </c>
      <c r="N18" s="12" t="s">
        <v>118</v>
      </c>
      <c r="O18" s="401">
        <v>0.96</v>
      </c>
      <c r="P18" s="402">
        <v>10000</v>
      </c>
      <c r="Q18" s="402">
        <f t="shared" ref="Q18:Q24" si="17">P18</f>
        <v>10000</v>
      </c>
      <c r="R18" s="408">
        <v>0.7</v>
      </c>
      <c r="S18" s="402">
        <v>10</v>
      </c>
      <c r="T18" s="402">
        <v>10</v>
      </c>
      <c r="U18" s="403">
        <v>10499</v>
      </c>
      <c r="V18" s="403">
        <f t="shared" ref="V18:V56" si="18">U18/1.21</f>
        <v>8676.8595041322315</v>
      </c>
      <c r="W18" s="403">
        <f t="shared" si="6"/>
        <v>9499</v>
      </c>
      <c r="X18" s="403">
        <v>1000</v>
      </c>
      <c r="Y18" s="403">
        <f t="shared" si="16"/>
        <v>10499</v>
      </c>
      <c r="Z18" s="403"/>
      <c r="AA18" s="12" t="s">
        <v>448</v>
      </c>
      <c r="AB18" s="399">
        <f t="shared" si="7"/>
        <v>960.5672461116194</v>
      </c>
      <c r="AC18" s="400" t="s">
        <v>581</v>
      </c>
      <c r="AD18" s="400" t="s">
        <v>582</v>
      </c>
      <c r="AE18" s="400" t="s">
        <v>67</v>
      </c>
      <c r="AF18" s="400">
        <v>610</v>
      </c>
      <c r="AG18" s="400">
        <v>213</v>
      </c>
      <c r="AH18" s="400">
        <v>435</v>
      </c>
      <c r="AI18" s="400">
        <v>1721</v>
      </c>
      <c r="AJ18" s="400">
        <v>39.200000000000003</v>
      </c>
      <c r="AK18" s="400">
        <v>4</v>
      </c>
      <c r="AL18" s="400"/>
      <c r="AM18" s="400"/>
      <c r="AN18" s="400"/>
      <c r="AO18" s="425"/>
    </row>
    <row r="19" spans="3:41" ht="17">
      <c r="C19" s="202">
        <v>3</v>
      </c>
      <c r="H19" s="198" t="str">
        <f t="shared" si="14"/>
        <v>AlphaESS  Smile3,6 binnen 14,57 (3 Fase)</v>
      </c>
      <c r="I19" s="12" t="s">
        <v>119</v>
      </c>
      <c r="J19" s="407" t="s">
        <v>565</v>
      </c>
      <c r="K19" s="198">
        <f t="shared" si="15"/>
        <v>3.6416666666666666</v>
      </c>
      <c r="L19" s="12">
        <v>4</v>
      </c>
      <c r="M19" s="198">
        <f t="shared" si="5"/>
        <v>14.57</v>
      </c>
      <c r="N19" s="12" t="s">
        <v>118</v>
      </c>
      <c r="O19" s="401">
        <v>0.96</v>
      </c>
      <c r="P19" s="402">
        <v>10000</v>
      </c>
      <c r="Q19" s="402">
        <f t="shared" si="17"/>
        <v>10000</v>
      </c>
      <c r="R19" s="408">
        <v>0.7</v>
      </c>
      <c r="S19" s="402">
        <v>10</v>
      </c>
      <c r="T19" s="402">
        <v>10</v>
      </c>
      <c r="U19" s="403">
        <v>11999</v>
      </c>
      <c r="V19" s="403">
        <f t="shared" si="18"/>
        <v>9916.5289256198357</v>
      </c>
      <c r="W19" s="403">
        <f t="shared" si="6"/>
        <v>10999</v>
      </c>
      <c r="X19" s="403">
        <v>1000</v>
      </c>
      <c r="Y19" s="403">
        <f t="shared" si="16"/>
        <v>11999</v>
      </c>
      <c r="Z19" s="403"/>
      <c r="AA19" s="12" t="s">
        <v>448</v>
      </c>
      <c r="AB19" s="399">
        <f t="shared" si="7"/>
        <v>823.54152367879203</v>
      </c>
      <c r="AC19" s="400" t="s">
        <v>581</v>
      </c>
      <c r="AD19" s="400" t="s">
        <v>582</v>
      </c>
      <c r="AE19" s="400" t="s">
        <v>67</v>
      </c>
      <c r="AF19" s="400">
        <v>610</v>
      </c>
      <c r="AG19" s="400">
        <v>213</v>
      </c>
      <c r="AH19" s="400">
        <v>435</v>
      </c>
      <c r="AI19" s="400">
        <v>2156</v>
      </c>
      <c r="AJ19" s="400">
        <v>39.200000000000003</v>
      </c>
      <c r="AK19" s="400">
        <v>4</v>
      </c>
      <c r="AL19" s="400"/>
      <c r="AM19" s="400"/>
      <c r="AN19" s="400"/>
      <c r="AO19" s="425"/>
    </row>
    <row r="20" spans="3:41" ht="17">
      <c r="C20" s="202">
        <v>3</v>
      </c>
      <c r="H20" s="198" t="str">
        <f t="shared" si="14"/>
        <v>AlphaESS  Smile3,6 binnen 18,21 (3 Fase)</v>
      </c>
      <c r="I20" s="12" t="s">
        <v>119</v>
      </c>
      <c r="J20" s="407" t="s">
        <v>565</v>
      </c>
      <c r="K20" s="198">
        <f t="shared" si="15"/>
        <v>3.6416666666666666</v>
      </c>
      <c r="L20" s="12">
        <v>5</v>
      </c>
      <c r="M20" s="198">
        <f t="shared" si="5"/>
        <v>18.21</v>
      </c>
      <c r="N20" s="12" t="s">
        <v>118</v>
      </c>
      <c r="O20" s="401">
        <v>0.96</v>
      </c>
      <c r="P20" s="402">
        <v>10000</v>
      </c>
      <c r="Q20" s="402">
        <f t="shared" si="17"/>
        <v>10000</v>
      </c>
      <c r="R20" s="408">
        <v>0.7</v>
      </c>
      <c r="S20" s="402">
        <v>10</v>
      </c>
      <c r="T20" s="402">
        <v>10</v>
      </c>
      <c r="U20" s="403">
        <v>13499</v>
      </c>
      <c r="V20" s="403">
        <f t="shared" si="18"/>
        <v>11156.198347107438</v>
      </c>
      <c r="W20" s="403">
        <f t="shared" si="6"/>
        <v>12499</v>
      </c>
      <c r="X20" s="403">
        <v>1000</v>
      </c>
      <c r="Y20" s="403">
        <f t="shared" si="16"/>
        <v>13499</v>
      </c>
      <c r="Z20" s="403"/>
      <c r="AA20" s="12" t="s">
        <v>448</v>
      </c>
      <c r="AB20" s="399">
        <f t="shared" si="7"/>
        <v>741.29599121361889</v>
      </c>
      <c r="AC20" s="400" t="s">
        <v>581</v>
      </c>
      <c r="AD20" s="400" t="s">
        <v>582</v>
      </c>
      <c r="AE20" s="400" t="s">
        <v>67</v>
      </c>
      <c r="AF20" s="400">
        <v>1420</v>
      </c>
      <c r="AG20" s="400">
        <v>213</v>
      </c>
      <c r="AH20" s="400">
        <v>435</v>
      </c>
      <c r="AI20" s="400">
        <v>1305</v>
      </c>
      <c r="AJ20" s="400">
        <v>39.200000000000003</v>
      </c>
      <c r="AK20" s="400">
        <v>4</v>
      </c>
      <c r="AL20" s="400"/>
      <c r="AM20" s="400"/>
      <c r="AN20" s="400" t="s">
        <v>589</v>
      </c>
      <c r="AO20" s="425"/>
    </row>
    <row r="21" spans="3:41" ht="17">
      <c r="C21" s="202">
        <v>3</v>
      </c>
      <c r="D21" s="202">
        <v>4</v>
      </c>
      <c r="H21" s="198" t="str">
        <f t="shared" si="14"/>
        <v>AlphaESS  Smile3,6 binnen 21,85 (3 Fase)</v>
      </c>
      <c r="I21" s="12" t="s">
        <v>119</v>
      </c>
      <c r="J21" s="407" t="s">
        <v>565</v>
      </c>
      <c r="K21" s="198">
        <f t="shared" si="15"/>
        <v>3.6416666666666666</v>
      </c>
      <c r="L21" s="12">
        <v>6</v>
      </c>
      <c r="M21" s="198">
        <f t="shared" si="5"/>
        <v>21.85</v>
      </c>
      <c r="N21" s="12" t="s">
        <v>118</v>
      </c>
      <c r="O21" s="401">
        <v>0.96</v>
      </c>
      <c r="P21" s="402">
        <v>10000</v>
      </c>
      <c r="Q21" s="402">
        <f t="shared" si="17"/>
        <v>10000</v>
      </c>
      <c r="R21" s="408">
        <v>0.7</v>
      </c>
      <c r="S21" s="402">
        <v>10</v>
      </c>
      <c r="T21" s="402">
        <v>10</v>
      </c>
      <c r="U21" s="403">
        <v>14999</v>
      </c>
      <c r="V21" s="403">
        <f t="shared" si="18"/>
        <v>12395.867768595042</v>
      </c>
      <c r="W21" s="403">
        <f t="shared" si="6"/>
        <v>13999</v>
      </c>
      <c r="X21" s="403">
        <v>1000</v>
      </c>
      <c r="Y21" s="403">
        <f t="shared" si="16"/>
        <v>13999</v>
      </c>
      <c r="Z21" s="403">
        <v>1000</v>
      </c>
      <c r="AA21" s="12" t="s">
        <v>448</v>
      </c>
      <c r="AB21" s="399">
        <f t="shared" si="7"/>
        <v>686.45308924485118</v>
      </c>
      <c r="AC21" s="400" t="s">
        <v>581</v>
      </c>
      <c r="AD21" s="400" t="s">
        <v>582</v>
      </c>
      <c r="AE21" s="400" t="s">
        <v>67</v>
      </c>
      <c r="AF21" s="400">
        <v>1420</v>
      </c>
      <c r="AG21" s="400">
        <v>213</v>
      </c>
      <c r="AH21" s="400">
        <v>435</v>
      </c>
      <c r="AI21" s="400">
        <v>1721</v>
      </c>
      <c r="AJ21" s="400">
        <v>39.200000000000003</v>
      </c>
      <c r="AK21" s="400">
        <v>4</v>
      </c>
      <c r="AL21" s="400"/>
      <c r="AM21" s="400"/>
      <c r="AN21" s="400" t="s">
        <v>586</v>
      </c>
      <c r="AO21" s="425"/>
    </row>
    <row r="22" spans="3:41" ht="17">
      <c r="C22" s="202">
        <v>3</v>
      </c>
      <c r="D22" s="202">
        <v>4</v>
      </c>
      <c r="H22" s="198" t="str">
        <f t="shared" si="14"/>
        <v>AlphaESS  Smile3,6 binnen 29,13 (3 Fase)</v>
      </c>
      <c r="I22" s="12" t="s">
        <v>119</v>
      </c>
      <c r="J22" s="407" t="s">
        <v>565</v>
      </c>
      <c r="K22" s="198">
        <f t="shared" si="15"/>
        <v>3.6416666666666666</v>
      </c>
      <c r="L22" s="12">
        <v>8</v>
      </c>
      <c r="M22" s="198">
        <f t="shared" si="5"/>
        <v>29.13</v>
      </c>
      <c r="N22" s="12" t="s">
        <v>118</v>
      </c>
      <c r="O22" s="401">
        <v>0.96</v>
      </c>
      <c r="P22" s="402">
        <v>10000</v>
      </c>
      <c r="Q22" s="402">
        <f t="shared" si="17"/>
        <v>10000</v>
      </c>
      <c r="R22" s="408">
        <v>0.7</v>
      </c>
      <c r="S22" s="402">
        <v>10</v>
      </c>
      <c r="T22" s="402">
        <v>10</v>
      </c>
      <c r="U22" s="403">
        <v>17999</v>
      </c>
      <c r="V22" s="403">
        <f t="shared" si="18"/>
        <v>14875.206611570249</v>
      </c>
      <c r="W22" s="403">
        <f t="shared" si="6"/>
        <v>16999</v>
      </c>
      <c r="X22" s="403">
        <v>1000</v>
      </c>
      <c r="Y22" s="403">
        <f t="shared" si="16"/>
        <v>17999</v>
      </c>
      <c r="Z22" s="403"/>
      <c r="AA22" s="12" t="s">
        <v>448</v>
      </c>
      <c r="AB22" s="399">
        <f t="shared" si="7"/>
        <v>617.88534157226229</v>
      </c>
      <c r="AC22" s="400" t="s">
        <v>581</v>
      </c>
      <c r="AD22" s="400" t="s">
        <v>582</v>
      </c>
      <c r="AE22" s="400" t="s">
        <v>67</v>
      </c>
      <c r="AF22" s="400">
        <v>1420</v>
      </c>
      <c r="AG22" s="400">
        <v>213</v>
      </c>
      <c r="AH22" s="400">
        <v>435</v>
      </c>
      <c r="AI22" s="400">
        <v>2156</v>
      </c>
      <c r="AJ22" s="400">
        <v>39.200000000000003</v>
      </c>
      <c r="AK22" s="400">
        <v>4</v>
      </c>
      <c r="AL22" s="400"/>
      <c r="AM22" s="400"/>
      <c r="AN22" s="400" t="s">
        <v>590</v>
      </c>
      <c r="AO22" s="425">
        <f t="shared" ref="AO22:AO52" si="19">Y22-Y22/1.21-5*15*M22-4*50</f>
        <v>739.04338842975085</v>
      </c>
    </row>
    <row r="23" spans="3:41" ht="17">
      <c r="C23" s="202">
        <v>3</v>
      </c>
      <c r="D23" s="202">
        <v>4</v>
      </c>
      <c r="H23" s="198" t="str">
        <f t="shared" si="14"/>
        <v>AlphaESS  Smile3,6 binnen 36,42 (3 Fase)</v>
      </c>
      <c r="I23" s="12" t="s">
        <v>119</v>
      </c>
      <c r="J23" s="407" t="s">
        <v>565</v>
      </c>
      <c r="K23" s="198">
        <f t="shared" si="15"/>
        <v>3.6416666666666666</v>
      </c>
      <c r="L23" s="12">
        <v>10</v>
      </c>
      <c r="M23" s="198">
        <f t="shared" si="5"/>
        <v>36.42</v>
      </c>
      <c r="N23" s="12" t="s">
        <v>118</v>
      </c>
      <c r="O23" s="401">
        <v>0.96</v>
      </c>
      <c r="P23" s="402">
        <v>10000</v>
      </c>
      <c r="Q23" s="402">
        <f t="shared" si="17"/>
        <v>10000</v>
      </c>
      <c r="R23" s="408">
        <v>0.7</v>
      </c>
      <c r="S23" s="402">
        <v>10</v>
      </c>
      <c r="T23" s="402">
        <v>10</v>
      </c>
      <c r="U23" s="403">
        <v>20999</v>
      </c>
      <c r="V23" s="403">
        <f t="shared" si="18"/>
        <v>17354.545454545456</v>
      </c>
      <c r="W23" s="403">
        <f>U23-X23</f>
        <v>19999</v>
      </c>
      <c r="X23" s="403">
        <v>1000</v>
      </c>
      <c r="Y23" s="403">
        <f t="shared" si="16"/>
        <v>20999</v>
      </c>
      <c r="Z23" s="403"/>
      <c r="AA23" s="12" t="s">
        <v>448</v>
      </c>
      <c r="AB23" s="399">
        <f t="shared" si="7"/>
        <v>576.57880285557383</v>
      </c>
      <c r="AC23" s="400" t="s">
        <v>581</v>
      </c>
      <c r="AD23" s="400" t="s">
        <v>582</v>
      </c>
      <c r="AE23" s="400" t="s">
        <v>67</v>
      </c>
      <c r="AF23" s="400">
        <v>2230</v>
      </c>
      <c r="AG23" s="400">
        <v>213</v>
      </c>
      <c r="AH23" s="400">
        <v>435</v>
      </c>
      <c r="AI23" s="400">
        <v>1740</v>
      </c>
      <c r="AJ23" s="400">
        <v>39.200000000000003</v>
      </c>
      <c r="AK23" s="400">
        <v>4</v>
      </c>
      <c r="AL23" s="400"/>
      <c r="AM23" s="400"/>
      <c r="AN23" s="400" t="s">
        <v>591</v>
      </c>
      <c r="AO23" s="425">
        <f t="shared" si="19"/>
        <v>712.95454545454413</v>
      </c>
    </row>
    <row r="24" spans="3:41" ht="17">
      <c r="C24" s="202">
        <v>3</v>
      </c>
      <c r="D24" s="202">
        <v>4</v>
      </c>
      <c r="H24" s="198" t="str">
        <f t="shared" si="14"/>
        <v>AlphaESS  Smile3,6 binnen 43,7 (3 Fase)</v>
      </c>
      <c r="I24" s="12" t="s">
        <v>119</v>
      </c>
      <c r="J24" s="407" t="s">
        <v>565</v>
      </c>
      <c r="K24" s="198">
        <f t="shared" si="15"/>
        <v>3.6416666666666666</v>
      </c>
      <c r="L24" s="12">
        <v>12</v>
      </c>
      <c r="M24" s="198">
        <f t="shared" si="5"/>
        <v>43.7</v>
      </c>
      <c r="N24" s="12" t="s">
        <v>118</v>
      </c>
      <c r="O24" s="401">
        <v>0.96</v>
      </c>
      <c r="P24" s="402">
        <v>10000</v>
      </c>
      <c r="Q24" s="402">
        <f t="shared" si="17"/>
        <v>10000</v>
      </c>
      <c r="R24" s="408">
        <v>0.7</v>
      </c>
      <c r="S24" s="402">
        <v>10</v>
      </c>
      <c r="T24" s="402">
        <v>10</v>
      </c>
      <c r="U24" s="403">
        <v>23999</v>
      </c>
      <c r="V24" s="403">
        <f t="shared" si="18"/>
        <v>19833.884297520661</v>
      </c>
      <c r="W24" s="403">
        <f t="shared" si="6"/>
        <v>22999</v>
      </c>
      <c r="X24" s="403">
        <v>1000</v>
      </c>
      <c r="Y24" s="403">
        <f t="shared" si="16"/>
        <v>23999</v>
      </c>
      <c r="Z24" s="403"/>
      <c r="AA24" s="12" t="s">
        <v>448</v>
      </c>
      <c r="AB24" s="399">
        <f t="shared" si="7"/>
        <v>549.17620137299764</v>
      </c>
      <c r="AC24" s="400" t="s">
        <v>581</v>
      </c>
      <c r="AD24" s="400" t="s">
        <v>582</v>
      </c>
      <c r="AE24" s="400" t="s">
        <v>67</v>
      </c>
      <c r="AF24" s="400">
        <v>2230</v>
      </c>
      <c r="AG24" s="400">
        <v>213</v>
      </c>
      <c r="AH24" s="400">
        <v>435</v>
      </c>
      <c r="AI24" s="400">
        <v>2156</v>
      </c>
      <c r="AJ24" s="400">
        <v>39.200000000000003</v>
      </c>
      <c r="AK24" s="400">
        <v>4</v>
      </c>
      <c r="AL24" s="400"/>
      <c r="AM24" s="400"/>
      <c r="AN24" s="400" t="s">
        <v>592</v>
      </c>
      <c r="AO24" s="425">
        <f t="shared" si="19"/>
        <v>687.61570247933923</v>
      </c>
    </row>
    <row r="25" spans="3:41" ht="17">
      <c r="C25" s="202">
        <v>3</v>
      </c>
      <c r="D25" s="202">
        <v>4</v>
      </c>
      <c r="H25" s="198" t="str">
        <f t="shared" ref="H25:H33" si="20">I25&amp;" "&amp;" "&amp;J25&amp;" "&amp;M25&amp;" ("&amp;N25&amp;")"</f>
        <v>AlphaESS  Smile9,3 buiten 9,3 (3 Fase)</v>
      </c>
      <c r="I25" s="12" t="s">
        <v>119</v>
      </c>
      <c r="J25" s="407" t="s">
        <v>566</v>
      </c>
      <c r="K25" s="198">
        <v>9.3000000000000007</v>
      </c>
      <c r="L25" s="12">
        <v>1</v>
      </c>
      <c r="M25" s="198">
        <f t="shared" si="5"/>
        <v>9.3000000000000007</v>
      </c>
      <c r="N25" s="12" t="s">
        <v>118</v>
      </c>
      <c r="O25" s="401">
        <v>0.98</v>
      </c>
      <c r="P25" s="402">
        <v>10000</v>
      </c>
      <c r="Q25" s="402">
        <v>10000</v>
      </c>
      <c r="R25" s="408">
        <v>0.7</v>
      </c>
      <c r="S25" s="402">
        <v>10</v>
      </c>
      <c r="T25" s="402">
        <v>10</v>
      </c>
      <c r="U25" s="403">
        <f>5999+L25*3000</f>
        <v>8999</v>
      </c>
      <c r="V25" s="403">
        <f t="shared" ref="V25:V33" si="21">U25/1.21</f>
        <v>7437.1900826446281</v>
      </c>
      <c r="W25" s="403">
        <f t="shared" si="6"/>
        <v>7999</v>
      </c>
      <c r="X25" s="403">
        <v>1000</v>
      </c>
      <c r="Y25" s="403">
        <f t="shared" si="16"/>
        <v>8999</v>
      </c>
      <c r="Z25" s="403"/>
      <c r="AA25" s="12" t="s">
        <v>448</v>
      </c>
      <c r="AB25" s="399">
        <f t="shared" si="7"/>
        <v>967.63440860215042</v>
      </c>
      <c r="AC25" s="400" t="s">
        <v>581</v>
      </c>
      <c r="AD25" s="400" t="s">
        <v>581</v>
      </c>
      <c r="AE25" s="400" t="s">
        <v>52</v>
      </c>
      <c r="AF25" s="400">
        <v>610</v>
      </c>
      <c r="AG25" s="400">
        <v>210</v>
      </c>
      <c r="AH25" s="400">
        <v>634</v>
      </c>
      <c r="AI25" s="400">
        <v>850</v>
      </c>
      <c r="AJ25" s="400">
        <v>81</v>
      </c>
      <c r="AK25" s="400">
        <v>3</v>
      </c>
      <c r="AL25" s="400"/>
      <c r="AM25" s="400"/>
      <c r="AN25" s="400" t="s">
        <v>593</v>
      </c>
      <c r="AO25" s="425"/>
    </row>
    <row r="26" spans="3:41" ht="17">
      <c r="C26" s="202">
        <v>3</v>
      </c>
      <c r="D26" s="202">
        <v>4</v>
      </c>
      <c r="H26" s="198" t="str">
        <f t="shared" si="20"/>
        <v>AlphaESS  Smile9,3 buiten 18,6 (3 Fase)</v>
      </c>
      <c r="I26" s="12" t="s">
        <v>119</v>
      </c>
      <c r="J26" s="407" t="s">
        <v>566</v>
      </c>
      <c r="K26" s="198">
        <v>9.3000000000000007</v>
      </c>
      <c r="L26" s="12">
        <v>2</v>
      </c>
      <c r="M26" s="198">
        <f t="shared" si="5"/>
        <v>18.600000000000001</v>
      </c>
      <c r="N26" s="12" t="s">
        <v>118</v>
      </c>
      <c r="O26" s="401">
        <v>0.98</v>
      </c>
      <c r="P26" s="402">
        <v>10000</v>
      </c>
      <c r="Q26" s="402">
        <v>10000</v>
      </c>
      <c r="R26" s="408">
        <v>0.7</v>
      </c>
      <c r="S26" s="402">
        <v>10</v>
      </c>
      <c r="T26" s="402">
        <v>10</v>
      </c>
      <c r="U26" s="403">
        <f>5999+L26*3000</f>
        <v>11999</v>
      </c>
      <c r="V26" s="403">
        <f t="shared" si="21"/>
        <v>9916.5289256198357</v>
      </c>
      <c r="W26" s="403">
        <f t="shared" si="6"/>
        <v>10999</v>
      </c>
      <c r="X26" s="403">
        <v>1000</v>
      </c>
      <c r="Y26" s="403">
        <f t="shared" si="16"/>
        <v>11999</v>
      </c>
      <c r="Z26" s="403"/>
      <c r="AA26" s="12" t="s">
        <v>448</v>
      </c>
      <c r="AB26" s="399">
        <f t="shared" si="7"/>
        <v>645.10752688172033</v>
      </c>
      <c r="AC26" s="400" t="s">
        <v>581</v>
      </c>
      <c r="AD26" s="400" t="s">
        <v>581</v>
      </c>
      <c r="AE26" s="400" t="s">
        <v>52</v>
      </c>
      <c r="AF26" s="400">
        <v>610</v>
      </c>
      <c r="AG26" s="400">
        <v>210</v>
      </c>
      <c r="AH26" s="400">
        <v>634</v>
      </c>
      <c r="AI26" s="400">
        <v>1068</v>
      </c>
      <c r="AJ26" s="400">
        <v>81</v>
      </c>
      <c r="AK26" s="400">
        <v>3</v>
      </c>
      <c r="AL26" s="400"/>
      <c r="AM26" s="400"/>
      <c r="AN26" s="400"/>
      <c r="AO26" s="425"/>
    </row>
    <row r="27" spans="3:41" ht="17">
      <c r="C27" s="202">
        <v>3</v>
      </c>
      <c r="D27" s="202">
        <v>4</v>
      </c>
      <c r="H27" s="198" t="str">
        <f t="shared" si="20"/>
        <v>AlphaESS  Smile9,3 buiten 27,9 (3 Fase)</v>
      </c>
      <c r="I27" s="12" t="s">
        <v>119</v>
      </c>
      <c r="J27" s="407" t="s">
        <v>566</v>
      </c>
      <c r="K27" s="198">
        <v>9.3000000000000007</v>
      </c>
      <c r="L27" s="12">
        <v>3</v>
      </c>
      <c r="M27" s="198">
        <f t="shared" si="5"/>
        <v>27.9</v>
      </c>
      <c r="N27" s="12" t="s">
        <v>118</v>
      </c>
      <c r="O27" s="401">
        <v>0.98</v>
      </c>
      <c r="P27" s="402">
        <v>10000</v>
      </c>
      <c r="Q27" s="402">
        <v>10000</v>
      </c>
      <c r="R27" s="408">
        <v>0.7</v>
      </c>
      <c r="S27" s="402">
        <v>10</v>
      </c>
      <c r="T27" s="402">
        <v>10</v>
      </c>
      <c r="U27" s="403">
        <f t="shared" ref="U27:U33" si="22">5999+L27*3000</f>
        <v>14999</v>
      </c>
      <c r="V27" s="403">
        <f t="shared" si="21"/>
        <v>12395.867768595042</v>
      </c>
      <c r="W27" s="403">
        <f t="shared" si="6"/>
        <v>13999</v>
      </c>
      <c r="X27" s="403">
        <v>1000</v>
      </c>
      <c r="Y27" s="403">
        <f t="shared" si="16"/>
        <v>13999</v>
      </c>
      <c r="Z27" s="403">
        <v>1000</v>
      </c>
      <c r="AA27" s="12" t="s">
        <v>448</v>
      </c>
      <c r="AB27" s="399">
        <f t="shared" si="7"/>
        <v>537.59856630824379</v>
      </c>
      <c r="AC27" s="400" t="s">
        <v>581</v>
      </c>
      <c r="AD27" s="400" t="s">
        <v>581</v>
      </c>
      <c r="AE27" s="400" t="s">
        <v>52</v>
      </c>
      <c r="AF27" s="400">
        <v>610</v>
      </c>
      <c r="AG27" s="400">
        <v>210</v>
      </c>
      <c r="AH27" s="400">
        <v>634</v>
      </c>
      <c r="AI27" s="400">
        <v>1286</v>
      </c>
      <c r="AJ27" s="400">
        <v>81</v>
      </c>
      <c r="AK27" s="400">
        <v>3</v>
      </c>
      <c r="AL27" s="400"/>
      <c r="AM27" s="400"/>
      <c r="AN27" s="400" t="s">
        <v>586</v>
      </c>
      <c r="AO27" s="425"/>
    </row>
    <row r="28" spans="3:41" ht="17">
      <c r="C28" s="202">
        <v>3</v>
      </c>
      <c r="D28" s="202">
        <v>4</v>
      </c>
      <c r="H28" s="198" t="str">
        <f t="shared" si="20"/>
        <v>AlphaESS  Smile9,3 buiten 37,2 (3 Fase)</v>
      </c>
      <c r="I28" s="12" t="s">
        <v>119</v>
      </c>
      <c r="J28" s="407" t="s">
        <v>566</v>
      </c>
      <c r="K28" s="198">
        <v>9.3000000000000007</v>
      </c>
      <c r="L28" s="12">
        <v>4</v>
      </c>
      <c r="M28" s="198">
        <f t="shared" si="5"/>
        <v>37.200000000000003</v>
      </c>
      <c r="N28" s="12" t="s">
        <v>118</v>
      </c>
      <c r="O28" s="401">
        <v>0.98</v>
      </c>
      <c r="P28" s="402">
        <v>10000</v>
      </c>
      <c r="Q28" s="402">
        <v>10000</v>
      </c>
      <c r="R28" s="408">
        <v>0.7</v>
      </c>
      <c r="S28" s="402">
        <v>10</v>
      </c>
      <c r="T28" s="402">
        <v>10</v>
      </c>
      <c r="U28" s="403">
        <f t="shared" si="22"/>
        <v>17999</v>
      </c>
      <c r="V28" s="403">
        <f t="shared" si="21"/>
        <v>14875.206611570249</v>
      </c>
      <c r="W28" s="403">
        <f t="shared" si="6"/>
        <v>16999</v>
      </c>
      <c r="X28" s="403">
        <v>1000</v>
      </c>
      <c r="Y28" s="403">
        <f t="shared" si="16"/>
        <v>17999</v>
      </c>
      <c r="Z28" s="403"/>
      <c r="AA28" s="12" t="s">
        <v>448</v>
      </c>
      <c r="AB28" s="399">
        <f t="shared" si="7"/>
        <v>483.84408602150535</v>
      </c>
      <c r="AC28" s="400" t="s">
        <v>581</v>
      </c>
      <c r="AD28" s="400" t="s">
        <v>581</v>
      </c>
      <c r="AE28" s="400" t="s">
        <v>52</v>
      </c>
      <c r="AF28" s="400">
        <v>1420</v>
      </c>
      <c r="AG28" s="400">
        <v>210</v>
      </c>
      <c r="AH28" s="400">
        <v>634</v>
      </c>
      <c r="AI28" s="400">
        <v>1684</v>
      </c>
      <c r="AJ28" s="400">
        <v>81</v>
      </c>
      <c r="AK28" s="400">
        <v>3</v>
      </c>
      <c r="AL28" s="400"/>
      <c r="AM28" s="400"/>
      <c r="AN28" s="400" t="s">
        <v>594</v>
      </c>
      <c r="AO28" s="425">
        <f t="shared" si="19"/>
        <v>133.79338842975085</v>
      </c>
    </row>
    <row r="29" spans="3:41" ht="17">
      <c r="C29" s="202">
        <v>3</v>
      </c>
      <c r="D29" s="202">
        <v>4</v>
      </c>
      <c r="H29" s="198" t="str">
        <f t="shared" si="20"/>
        <v>AlphaESS  Smile9,3 buiten 46,5 (3 Fase)</v>
      </c>
      <c r="I29" s="12" t="s">
        <v>119</v>
      </c>
      <c r="J29" s="407" t="s">
        <v>566</v>
      </c>
      <c r="K29" s="198">
        <v>9.3000000000000007</v>
      </c>
      <c r="L29" s="12">
        <v>5</v>
      </c>
      <c r="M29" s="198">
        <f t="shared" si="5"/>
        <v>46.5</v>
      </c>
      <c r="N29" s="12" t="s">
        <v>118</v>
      </c>
      <c r="O29" s="401">
        <v>0.98</v>
      </c>
      <c r="P29" s="402">
        <v>10000</v>
      </c>
      <c r="Q29" s="402">
        <v>10000</v>
      </c>
      <c r="R29" s="408">
        <v>0.7</v>
      </c>
      <c r="S29" s="402">
        <v>10</v>
      </c>
      <c r="T29" s="402">
        <v>10</v>
      </c>
      <c r="U29" s="403">
        <f t="shared" si="22"/>
        <v>20999</v>
      </c>
      <c r="V29" s="403">
        <f t="shared" si="21"/>
        <v>17354.545454545456</v>
      </c>
      <c r="W29" s="403">
        <f t="shared" si="6"/>
        <v>19999</v>
      </c>
      <c r="X29" s="403">
        <v>1000</v>
      </c>
      <c r="Y29" s="403">
        <f t="shared" si="16"/>
        <v>20999</v>
      </c>
      <c r="Z29" s="403"/>
      <c r="AA29" s="12" t="s">
        <v>448</v>
      </c>
      <c r="AB29" s="399">
        <f t="shared" si="7"/>
        <v>451.59139784946234</v>
      </c>
      <c r="AC29" s="400" t="s">
        <v>581</v>
      </c>
      <c r="AD29" s="400" t="s">
        <v>581</v>
      </c>
      <c r="AE29" s="400" t="s">
        <v>52</v>
      </c>
      <c r="AF29" s="400">
        <v>1420</v>
      </c>
      <c r="AG29" s="400">
        <v>210</v>
      </c>
      <c r="AH29" s="400">
        <v>634</v>
      </c>
      <c r="AI29" s="400">
        <v>1902</v>
      </c>
      <c r="AJ29" s="400">
        <v>81</v>
      </c>
      <c r="AK29" s="400">
        <v>3</v>
      </c>
      <c r="AL29" s="400"/>
      <c r="AM29" s="400"/>
      <c r="AN29" s="400" t="s">
        <v>595</v>
      </c>
      <c r="AO29" s="425">
        <f t="shared" si="19"/>
        <v>-43.045454545455868</v>
      </c>
    </row>
    <row r="30" spans="3:41" ht="17">
      <c r="C30" s="202">
        <v>3</v>
      </c>
      <c r="D30" s="202">
        <v>4</v>
      </c>
      <c r="H30" s="198" t="str">
        <f t="shared" ref="H30:H32" si="23">I30&amp;" "&amp;" "&amp;J30&amp;" "&amp;M30&amp;" ("&amp;N30&amp;")"</f>
        <v>AlphaESS  Smile9,3 buiten 55,8 (3 Fase)</v>
      </c>
      <c r="I30" s="12" t="s">
        <v>119</v>
      </c>
      <c r="J30" s="407" t="s">
        <v>566</v>
      </c>
      <c r="K30" s="198">
        <v>9.3000000000000007</v>
      </c>
      <c r="L30" s="12">
        <v>6</v>
      </c>
      <c r="M30" s="198">
        <f t="shared" si="5"/>
        <v>55.8</v>
      </c>
      <c r="N30" s="12" t="s">
        <v>118</v>
      </c>
      <c r="O30" s="401">
        <v>0.98</v>
      </c>
      <c r="P30" s="402">
        <v>10000</v>
      </c>
      <c r="Q30" s="402">
        <v>10000</v>
      </c>
      <c r="R30" s="408">
        <v>0.7</v>
      </c>
      <c r="S30" s="402">
        <v>10</v>
      </c>
      <c r="T30" s="402">
        <v>10</v>
      </c>
      <c r="U30" s="403">
        <f t="shared" ref="U30:U32" si="24">5999+L30*3000</f>
        <v>23999</v>
      </c>
      <c r="V30" s="403">
        <f t="shared" ref="V30:V32" si="25">U30/1.21</f>
        <v>19833.884297520661</v>
      </c>
      <c r="W30" s="403">
        <f t="shared" si="6"/>
        <v>22999</v>
      </c>
      <c r="X30" s="403">
        <v>1000</v>
      </c>
      <c r="Y30" s="403">
        <f t="shared" ref="Y30:Y32" si="26">U30-Z30</f>
        <v>23999</v>
      </c>
      <c r="Z30" s="403"/>
      <c r="AA30" s="12" t="s">
        <v>448</v>
      </c>
      <c r="AB30" s="399">
        <f t="shared" si="7"/>
        <v>430.08960573476702</v>
      </c>
      <c r="AC30" s="400" t="s">
        <v>581</v>
      </c>
      <c r="AD30" s="400" t="s">
        <v>581</v>
      </c>
      <c r="AE30" s="400" t="s">
        <v>52</v>
      </c>
      <c r="AF30" s="400">
        <v>1420</v>
      </c>
      <c r="AG30" s="400">
        <v>210</v>
      </c>
      <c r="AH30" s="400">
        <v>634</v>
      </c>
      <c r="AI30" s="400">
        <v>2120</v>
      </c>
      <c r="AJ30" s="400">
        <v>81</v>
      </c>
      <c r="AK30" s="400">
        <v>3</v>
      </c>
      <c r="AL30" s="400"/>
      <c r="AM30" s="400"/>
      <c r="AN30" s="400" t="s">
        <v>596</v>
      </c>
      <c r="AO30" s="425">
        <f t="shared" si="19"/>
        <v>-219.88429752066077</v>
      </c>
    </row>
    <row r="31" spans="3:41" ht="17">
      <c r="C31" s="202">
        <v>3</v>
      </c>
      <c r="D31" s="202">
        <v>4</v>
      </c>
      <c r="H31" s="198" t="str">
        <f t="shared" si="23"/>
        <v>AlphaESS  Smile9,3 buiten 74,4 (3 Fase)</v>
      </c>
      <c r="I31" s="12" t="s">
        <v>119</v>
      </c>
      <c r="J31" s="407" t="s">
        <v>566</v>
      </c>
      <c r="K31" s="198">
        <v>9.3000000000000007</v>
      </c>
      <c r="L31" s="12">
        <v>8</v>
      </c>
      <c r="M31" s="198">
        <f t="shared" si="5"/>
        <v>74.400000000000006</v>
      </c>
      <c r="N31" s="12" t="s">
        <v>118</v>
      </c>
      <c r="O31" s="401">
        <v>0.98</v>
      </c>
      <c r="P31" s="402">
        <v>10000</v>
      </c>
      <c r="Q31" s="402">
        <v>10000</v>
      </c>
      <c r="R31" s="408">
        <v>0.7</v>
      </c>
      <c r="S31" s="402">
        <v>10</v>
      </c>
      <c r="T31" s="402">
        <v>10</v>
      </c>
      <c r="U31" s="403">
        <f t="shared" si="24"/>
        <v>29999</v>
      </c>
      <c r="V31" s="403">
        <f t="shared" si="25"/>
        <v>24792.561983471074</v>
      </c>
      <c r="W31" s="403">
        <f t="shared" si="6"/>
        <v>28999</v>
      </c>
      <c r="X31" s="403">
        <v>1000</v>
      </c>
      <c r="Y31" s="403">
        <f t="shared" si="26"/>
        <v>29999</v>
      </c>
      <c r="Z31" s="403"/>
      <c r="AA31" s="12" t="s">
        <v>448</v>
      </c>
      <c r="AB31" s="399">
        <f t="shared" si="7"/>
        <v>403.21236559139783</v>
      </c>
      <c r="AC31" s="400" t="s">
        <v>581</v>
      </c>
      <c r="AD31" s="400" t="s">
        <v>581</v>
      </c>
      <c r="AE31" s="400" t="s">
        <v>52</v>
      </c>
      <c r="AF31" s="400">
        <v>1830</v>
      </c>
      <c r="AG31" s="400">
        <v>210</v>
      </c>
      <c r="AH31" s="400">
        <v>634</v>
      </c>
      <c r="AI31" s="400">
        <v>1902</v>
      </c>
      <c r="AJ31" s="400">
        <v>81</v>
      </c>
      <c r="AK31" s="400">
        <v>3</v>
      </c>
      <c r="AL31" s="400"/>
      <c r="AM31" s="400"/>
      <c r="AN31" s="400" t="s">
        <v>597</v>
      </c>
      <c r="AO31" s="425">
        <f t="shared" si="19"/>
        <v>-573.5619834710742</v>
      </c>
    </row>
    <row r="32" spans="3:41" ht="17">
      <c r="C32" s="202">
        <v>3</v>
      </c>
      <c r="D32" s="202">
        <v>4</v>
      </c>
      <c r="H32" s="198" t="str">
        <f t="shared" si="23"/>
        <v>AlphaESS  Smile9,3 buiten 93 (3 Fase)</v>
      </c>
      <c r="I32" s="12" t="s">
        <v>119</v>
      </c>
      <c r="J32" s="407" t="s">
        <v>566</v>
      </c>
      <c r="K32" s="198">
        <v>9.3000000000000007</v>
      </c>
      <c r="L32" s="12">
        <v>10</v>
      </c>
      <c r="M32" s="198">
        <f t="shared" si="5"/>
        <v>93</v>
      </c>
      <c r="N32" s="12" t="s">
        <v>118</v>
      </c>
      <c r="O32" s="401">
        <v>0.98</v>
      </c>
      <c r="P32" s="402">
        <v>10000</v>
      </c>
      <c r="Q32" s="402">
        <v>10000</v>
      </c>
      <c r="R32" s="408">
        <v>0.7</v>
      </c>
      <c r="S32" s="402">
        <v>10</v>
      </c>
      <c r="T32" s="402">
        <v>10</v>
      </c>
      <c r="U32" s="403">
        <f t="shared" si="24"/>
        <v>35999</v>
      </c>
      <c r="V32" s="403">
        <f t="shared" si="25"/>
        <v>29751.239669421488</v>
      </c>
      <c r="W32" s="403">
        <f t="shared" si="6"/>
        <v>34999</v>
      </c>
      <c r="X32" s="403">
        <v>1000</v>
      </c>
      <c r="Y32" s="403">
        <f t="shared" si="26"/>
        <v>35999</v>
      </c>
      <c r="Z32" s="403"/>
      <c r="AA32" s="12" t="s">
        <v>448</v>
      </c>
      <c r="AB32" s="399">
        <f t="shared" si="7"/>
        <v>387.08602150537632</v>
      </c>
      <c r="AC32" s="400" t="s">
        <v>581</v>
      </c>
      <c r="AD32" s="400" t="s">
        <v>581</v>
      </c>
      <c r="AE32" s="400" t="s">
        <v>52</v>
      </c>
      <c r="AF32" s="400">
        <v>2240</v>
      </c>
      <c r="AG32" s="400">
        <v>210</v>
      </c>
      <c r="AH32" s="400">
        <v>634</v>
      </c>
      <c r="AI32" s="400">
        <v>1902</v>
      </c>
      <c r="AJ32" s="400">
        <v>81</v>
      </c>
      <c r="AK32" s="400">
        <v>3</v>
      </c>
      <c r="AL32" s="400"/>
      <c r="AM32" s="400"/>
      <c r="AN32" s="400" t="s">
        <v>598</v>
      </c>
      <c r="AO32" s="425">
        <f t="shared" si="19"/>
        <v>-927.23966942148763</v>
      </c>
    </row>
    <row r="33" spans="2:41" ht="17">
      <c r="C33" s="202">
        <v>3</v>
      </c>
      <c r="D33" s="202">
        <v>4</v>
      </c>
      <c r="H33" s="198" t="str">
        <f t="shared" si="20"/>
        <v>AlphaESS  Smile9,3 buiten 111,6 (3 Fase)</v>
      </c>
      <c r="I33" s="12" t="s">
        <v>119</v>
      </c>
      <c r="J33" s="407" t="s">
        <v>566</v>
      </c>
      <c r="K33" s="198">
        <v>9.3000000000000007</v>
      </c>
      <c r="L33" s="12">
        <v>12</v>
      </c>
      <c r="M33" s="198">
        <f t="shared" si="5"/>
        <v>111.6</v>
      </c>
      <c r="N33" s="12" t="s">
        <v>118</v>
      </c>
      <c r="O33" s="401">
        <v>0.98</v>
      </c>
      <c r="P33" s="402">
        <v>10000</v>
      </c>
      <c r="Q33" s="402">
        <v>10000</v>
      </c>
      <c r="R33" s="408">
        <v>0.7</v>
      </c>
      <c r="S33" s="402">
        <v>10</v>
      </c>
      <c r="T33" s="402">
        <v>10</v>
      </c>
      <c r="U33" s="403">
        <f t="shared" si="22"/>
        <v>41999</v>
      </c>
      <c r="V33" s="403">
        <f t="shared" si="21"/>
        <v>34709.917355371901</v>
      </c>
      <c r="W33" s="403">
        <f t="shared" si="6"/>
        <v>40999</v>
      </c>
      <c r="X33" s="403">
        <v>1000</v>
      </c>
      <c r="Y33" s="403">
        <f t="shared" si="16"/>
        <v>41999</v>
      </c>
      <c r="Z33" s="403"/>
      <c r="AA33" s="12" t="s">
        <v>448</v>
      </c>
      <c r="AB33" s="399">
        <f t="shared" si="7"/>
        <v>376.33512544802869</v>
      </c>
      <c r="AC33" s="400" t="s">
        <v>581</v>
      </c>
      <c r="AD33" s="400" t="s">
        <v>581</v>
      </c>
      <c r="AE33" s="400" t="s">
        <v>52</v>
      </c>
      <c r="AF33" s="400">
        <v>2240</v>
      </c>
      <c r="AG33" s="400">
        <v>210</v>
      </c>
      <c r="AH33" s="400">
        <v>634</v>
      </c>
      <c r="AI33" s="400">
        <v>2120</v>
      </c>
      <c r="AJ33" s="400">
        <v>81</v>
      </c>
      <c r="AK33" s="400">
        <v>3</v>
      </c>
      <c r="AL33" s="400"/>
      <c r="AM33" s="400"/>
      <c r="AN33" s="400" t="s">
        <v>599</v>
      </c>
      <c r="AO33" s="425">
        <f t="shared" si="19"/>
        <v>-1280.9173553719011</v>
      </c>
    </row>
    <row r="34" spans="2:41" ht="18" customHeight="1">
      <c r="E34" s="202">
        <v>5</v>
      </c>
      <c r="H34" s="198" t="str">
        <f t="shared" si="14"/>
        <v>AlphaESS  Storion 72,3 (3 Fase)</v>
      </c>
      <c r="I34" s="12" t="s">
        <v>119</v>
      </c>
      <c r="J34" s="407" t="s">
        <v>466</v>
      </c>
      <c r="K34" s="198">
        <v>24.1</v>
      </c>
      <c r="L34" s="12">
        <v>3</v>
      </c>
      <c r="M34" s="198">
        <f t="shared" si="5"/>
        <v>72.3</v>
      </c>
      <c r="N34" s="12" t="s">
        <v>118</v>
      </c>
      <c r="O34" s="401">
        <v>0.98</v>
      </c>
      <c r="P34" s="402">
        <v>8000</v>
      </c>
      <c r="Q34" s="402">
        <v>8000</v>
      </c>
      <c r="R34" s="408">
        <v>0.7</v>
      </c>
      <c r="S34" s="402">
        <v>5</v>
      </c>
      <c r="T34" s="402">
        <v>30</v>
      </c>
      <c r="U34" s="403">
        <v>39999</v>
      </c>
      <c r="V34" s="403">
        <f t="shared" si="18"/>
        <v>33057.024793388431</v>
      </c>
      <c r="W34" s="403">
        <f t="shared" si="6"/>
        <v>38999</v>
      </c>
      <c r="X34" s="403">
        <v>1000</v>
      </c>
      <c r="Y34" s="403">
        <f t="shared" si="16"/>
        <v>39999</v>
      </c>
      <c r="Z34" s="403"/>
      <c r="AA34" s="12" t="s">
        <v>449</v>
      </c>
      <c r="AB34" s="399">
        <f t="shared" si="7"/>
        <v>553.23651452282161</v>
      </c>
      <c r="AC34" s="400" t="s">
        <v>600</v>
      </c>
      <c r="AD34" s="400" t="s">
        <v>601</v>
      </c>
      <c r="AE34" s="400" t="s">
        <v>52</v>
      </c>
      <c r="AF34" s="400">
        <v>1120</v>
      </c>
      <c r="AG34" s="400">
        <v>1300</v>
      </c>
      <c r="AH34" s="400">
        <v>250</v>
      </c>
      <c r="AI34" s="400">
        <v>2050</v>
      </c>
      <c r="AJ34" s="400">
        <v>168</v>
      </c>
      <c r="AK34" s="400">
        <v>5</v>
      </c>
      <c r="AL34" s="400"/>
      <c r="AM34" s="400"/>
      <c r="AN34" s="400" t="s">
        <v>602</v>
      </c>
      <c r="AO34" s="425">
        <f t="shared" si="19"/>
        <v>1319.4752066115689</v>
      </c>
    </row>
    <row r="35" spans="2:41" ht="17">
      <c r="E35" s="202">
        <v>5</v>
      </c>
      <c r="H35" s="198" t="str">
        <f t="shared" si="14"/>
        <v>AlphaESS  Storion 96,4 (3 Fase)</v>
      </c>
      <c r="I35" s="12" t="s">
        <v>119</v>
      </c>
      <c r="J35" s="407" t="s">
        <v>466</v>
      </c>
      <c r="K35" s="198">
        <v>24.1</v>
      </c>
      <c r="L35" s="12">
        <v>4</v>
      </c>
      <c r="M35" s="198">
        <f t="shared" si="5"/>
        <v>96.4</v>
      </c>
      <c r="N35" s="12" t="s">
        <v>118</v>
      </c>
      <c r="O35" s="401">
        <v>0.98</v>
      </c>
      <c r="P35" s="402">
        <v>8000</v>
      </c>
      <c r="Q35" s="402">
        <v>8000</v>
      </c>
      <c r="R35" s="408">
        <v>0.7</v>
      </c>
      <c r="S35" s="402">
        <v>5</v>
      </c>
      <c r="T35" s="402">
        <v>30</v>
      </c>
      <c r="U35" s="403">
        <v>43999</v>
      </c>
      <c r="V35" s="403">
        <f t="shared" si="18"/>
        <v>36362.809917355371</v>
      </c>
      <c r="W35" s="403">
        <f t="shared" si="6"/>
        <v>42999</v>
      </c>
      <c r="X35" s="403">
        <v>1000</v>
      </c>
      <c r="Y35" s="403">
        <f t="shared" si="16"/>
        <v>43999</v>
      </c>
      <c r="Z35" s="403"/>
      <c r="AA35" s="12" t="s">
        <v>449</v>
      </c>
      <c r="AB35" s="399">
        <f t="shared" si="7"/>
        <v>456.42116182572613</v>
      </c>
      <c r="AC35" s="400" t="s">
        <v>600</v>
      </c>
      <c r="AD35" s="400" t="s">
        <v>601</v>
      </c>
      <c r="AE35" s="400" t="s">
        <v>52</v>
      </c>
      <c r="AF35" s="400">
        <v>1120</v>
      </c>
      <c r="AG35" s="400">
        <v>1300</v>
      </c>
      <c r="AH35" s="400">
        <v>250</v>
      </c>
      <c r="AI35" s="400">
        <v>2050</v>
      </c>
      <c r="AJ35" s="400">
        <v>168</v>
      </c>
      <c r="AK35" s="400">
        <v>5</v>
      </c>
      <c r="AL35" s="400"/>
      <c r="AM35" s="400"/>
      <c r="AN35" s="400"/>
      <c r="AO35" s="425">
        <f t="shared" si="19"/>
        <v>206.190082644629</v>
      </c>
    </row>
    <row r="36" spans="2:41" ht="17">
      <c r="E36" s="202">
        <v>5</v>
      </c>
      <c r="H36" s="198" t="str">
        <f t="shared" si="14"/>
        <v>AlphaESS  Storion 120,5 (3 Fase)</v>
      </c>
      <c r="I36" s="12" t="s">
        <v>119</v>
      </c>
      <c r="J36" s="407" t="s">
        <v>466</v>
      </c>
      <c r="K36" s="198">
        <v>24.1</v>
      </c>
      <c r="L36" s="12">
        <v>5</v>
      </c>
      <c r="M36" s="198">
        <f t="shared" si="5"/>
        <v>120.5</v>
      </c>
      <c r="N36" s="12" t="s">
        <v>118</v>
      </c>
      <c r="O36" s="401">
        <v>0.98</v>
      </c>
      <c r="P36" s="402">
        <v>8000</v>
      </c>
      <c r="Q36" s="402">
        <v>8000</v>
      </c>
      <c r="R36" s="408">
        <v>0.7</v>
      </c>
      <c r="S36" s="402">
        <v>5</v>
      </c>
      <c r="T36" s="402">
        <v>30</v>
      </c>
      <c r="U36" s="403">
        <v>47999</v>
      </c>
      <c r="V36" s="403">
        <f t="shared" si="18"/>
        <v>39668.595041322318</v>
      </c>
      <c r="W36" s="403">
        <f t="shared" si="6"/>
        <v>46999</v>
      </c>
      <c r="X36" s="403">
        <v>1000</v>
      </c>
      <c r="Y36" s="403">
        <f t="shared" si="16"/>
        <v>47999</v>
      </c>
      <c r="Z36" s="403"/>
      <c r="AA36" s="12" t="s">
        <v>449</v>
      </c>
      <c r="AB36" s="399">
        <f t="shared" si="7"/>
        <v>398.33195020746888</v>
      </c>
      <c r="AC36" s="400" t="s">
        <v>600</v>
      </c>
      <c r="AD36" s="400" t="s">
        <v>601</v>
      </c>
      <c r="AE36" s="400" t="s">
        <v>52</v>
      </c>
      <c r="AF36" s="400">
        <v>1120</v>
      </c>
      <c r="AG36" s="400">
        <v>1300</v>
      </c>
      <c r="AH36" s="400">
        <v>250</v>
      </c>
      <c r="AI36" s="400">
        <v>2050</v>
      </c>
      <c r="AJ36" s="400">
        <v>168</v>
      </c>
      <c r="AK36" s="400">
        <v>5</v>
      </c>
      <c r="AL36" s="400"/>
      <c r="AM36" s="400"/>
      <c r="AN36" s="400"/>
      <c r="AO36" s="425">
        <f t="shared" si="19"/>
        <v>-907.09504132231814</v>
      </c>
    </row>
    <row r="37" spans="2:41" ht="17">
      <c r="E37" s="202">
        <v>5</v>
      </c>
      <c r="H37" s="198" t="str">
        <f t="shared" si="14"/>
        <v>AlphaESS  Storion 144,6 (3 Fase)</v>
      </c>
      <c r="I37" s="12" t="s">
        <v>119</v>
      </c>
      <c r="J37" s="407" t="s">
        <v>466</v>
      </c>
      <c r="K37" s="198">
        <v>24.1</v>
      </c>
      <c r="L37" s="12">
        <v>6</v>
      </c>
      <c r="M37" s="198">
        <f t="shared" si="5"/>
        <v>144.6</v>
      </c>
      <c r="N37" s="12" t="s">
        <v>118</v>
      </c>
      <c r="O37" s="401">
        <v>0.98</v>
      </c>
      <c r="P37" s="402">
        <v>8000</v>
      </c>
      <c r="Q37" s="402">
        <v>8000</v>
      </c>
      <c r="R37" s="408">
        <v>0.7</v>
      </c>
      <c r="S37" s="402">
        <v>5</v>
      </c>
      <c r="T37" s="402">
        <v>30</v>
      </c>
      <c r="U37" s="403">
        <v>61999</v>
      </c>
      <c r="V37" s="403">
        <f t="shared" si="18"/>
        <v>51238.842975206615</v>
      </c>
      <c r="W37" s="403">
        <f t="shared" si="6"/>
        <v>60999</v>
      </c>
      <c r="X37" s="403">
        <v>1000</v>
      </c>
      <c r="Y37" s="403">
        <f t="shared" si="16"/>
        <v>61999</v>
      </c>
      <c r="Z37" s="403"/>
      <c r="AA37" s="12" t="s">
        <v>449</v>
      </c>
      <c r="AB37" s="399">
        <f t="shared" si="7"/>
        <v>428.76210235131401</v>
      </c>
      <c r="AC37" s="400" t="s">
        <v>600</v>
      </c>
      <c r="AD37" s="400" t="s">
        <v>601</v>
      </c>
      <c r="AE37" s="400" t="s">
        <v>52</v>
      </c>
      <c r="AF37" s="400">
        <v>2240</v>
      </c>
      <c r="AG37" s="400">
        <v>1300</v>
      </c>
      <c r="AH37" s="400">
        <v>250</v>
      </c>
      <c r="AI37" s="400">
        <v>2050</v>
      </c>
      <c r="AJ37" s="400">
        <v>168</v>
      </c>
      <c r="AK37" s="400">
        <v>5</v>
      </c>
      <c r="AL37" s="400"/>
      <c r="AM37" s="400"/>
      <c r="AN37" s="400" t="s">
        <v>603</v>
      </c>
      <c r="AO37" s="425">
        <f t="shared" si="19"/>
        <v>-284.84297520661494</v>
      </c>
    </row>
    <row r="38" spans="2:41" ht="17">
      <c r="E38" s="202">
        <v>5</v>
      </c>
      <c r="H38" s="198" t="str">
        <f t="shared" si="14"/>
        <v>AlphaESS  Storion 168,7 (3 Fase)</v>
      </c>
      <c r="I38" s="12" t="s">
        <v>119</v>
      </c>
      <c r="J38" s="407" t="s">
        <v>466</v>
      </c>
      <c r="K38" s="198">
        <v>24.1</v>
      </c>
      <c r="L38" s="12">
        <v>7</v>
      </c>
      <c r="M38" s="198">
        <f t="shared" si="5"/>
        <v>168.7</v>
      </c>
      <c r="N38" s="12" t="s">
        <v>118</v>
      </c>
      <c r="O38" s="401">
        <v>0.98</v>
      </c>
      <c r="P38" s="402">
        <v>8000</v>
      </c>
      <c r="Q38" s="402">
        <v>8000</v>
      </c>
      <c r="R38" s="408">
        <v>0.7</v>
      </c>
      <c r="S38" s="402">
        <v>5</v>
      </c>
      <c r="T38" s="428">
        <v>30</v>
      </c>
      <c r="U38" s="403">
        <v>65999</v>
      </c>
      <c r="V38" s="403">
        <f t="shared" si="18"/>
        <v>54544.628099173555</v>
      </c>
      <c r="W38" s="403">
        <f t="shared" si="6"/>
        <v>64999</v>
      </c>
      <c r="X38" s="403">
        <v>1000</v>
      </c>
      <c r="Y38" s="403">
        <f t="shared" si="16"/>
        <v>65999</v>
      </c>
      <c r="Z38" s="403"/>
      <c r="AA38" s="12" t="s">
        <v>449</v>
      </c>
      <c r="AB38" s="399">
        <f t="shared" si="7"/>
        <v>391.22110254890339</v>
      </c>
      <c r="AC38" s="400" t="s">
        <v>600</v>
      </c>
      <c r="AD38" s="400" t="s">
        <v>601</v>
      </c>
      <c r="AE38" s="400" t="s">
        <v>52</v>
      </c>
      <c r="AF38" s="400">
        <v>2240</v>
      </c>
      <c r="AG38" s="400">
        <v>1300</v>
      </c>
      <c r="AH38" s="400">
        <v>250</v>
      </c>
      <c r="AI38" s="400">
        <v>2050</v>
      </c>
      <c r="AJ38" s="400">
        <v>168</v>
      </c>
      <c r="AK38" s="400">
        <v>5</v>
      </c>
      <c r="AL38" s="400"/>
      <c r="AM38" s="400"/>
      <c r="AN38" s="400" t="s">
        <v>604</v>
      </c>
      <c r="AO38" s="425">
        <f t="shared" si="19"/>
        <v>-1398.1280991735548</v>
      </c>
    </row>
    <row r="39" spans="2:41" ht="17">
      <c r="E39" s="202">
        <v>5</v>
      </c>
      <c r="H39" s="198" t="str">
        <f t="shared" si="14"/>
        <v>AlphaESS  Storion 192,8 (3 Fase)</v>
      </c>
      <c r="I39" s="12" t="s">
        <v>119</v>
      </c>
      <c r="J39" s="407" t="s">
        <v>466</v>
      </c>
      <c r="K39" s="198">
        <v>24.1</v>
      </c>
      <c r="L39" s="12">
        <v>8</v>
      </c>
      <c r="M39" s="198">
        <f t="shared" si="5"/>
        <v>192.8</v>
      </c>
      <c r="N39" s="12" t="s">
        <v>118</v>
      </c>
      <c r="O39" s="401">
        <v>0.98</v>
      </c>
      <c r="P39" s="402">
        <v>8000</v>
      </c>
      <c r="Q39" s="402">
        <v>8000</v>
      </c>
      <c r="R39" s="408">
        <v>0.7</v>
      </c>
      <c r="S39" s="402">
        <v>5</v>
      </c>
      <c r="T39" s="428">
        <v>30</v>
      </c>
      <c r="U39" s="403">
        <v>69999</v>
      </c>
      <c r="V39" s="403">
        <f t="shared" si="18"/>
        <v>57850.413223140495</v>
      </c>
      <c r="W39" s="403">
        <f t="shared" si="6"/>
        <v>68999</v>
      </c>
      <c r="X39" s="403">
        <v>1000</v>
      </c>
      <c r="Y39" s="403">
        <f t="shared" si="16"/>
        <v>69999</v>
      </c>
      <c r="Z39" s="403"/>
      <c r="AA39" s="12" t="s">
        <v>449</v>
      </c>
      <c r="AB39" s="399">
        <f t="shared" si="7"/>
        <v>363.06535269709542</v>
      </c>
      <c r="AC39" s="400" t="s">
        <v>600</v>
      </c>
      <c r="AD39" s="400" t="s">
        <v>601</v>
      </c>
      <c r="AE39" s="400" t="s">
        <v>52</v>
      </c>
      <c r="AF39" s="400">
        <v>2240</v>
      </c>
      <c r="AG39" s="400">
        <v>1300</v>
      </c>
      <c r="AH39" s="400">
        <v>250</v>
      </c>
      <c r="AI39" s="400">
        <v>2050</v>
      </c>
      <c r="AJ39" s="400">
        <v>168</v>
      </c>
      <c r="AK39" s="400">
        <v>5</v>
      </c>
      <c r="AL39" s="400"/>
      <c r="AM39" s="400"/>
      <c r="AN39" s="400" t="s">
        <v>605</v>
      </c>
      <c r="AO39" s="425">
        <f t="shared" si="19"/>
        <v>-2511.4132231404947</v>
      </c>
    </row>
    <row r="40" spans="2:41" ht="17">
      <c r="E40" s="202">
        <v>5</v>
      </c>
      <c r="H40" s="198" t="str">
        <f t="shared" si="14"/>
        <v>AlphaESS  Storion 216,9 (3 Fase)</v>
      </c>
      <c r="I40" s="12" t="s">
        <v>119</v>
      </c>
      <c r="J40" s="407" t="s">
        <v>466</v>
      </c>
      <c r="K40" s="198">
        <v>24.1</v>
      </c>
      <c r="L40" s="12">
        <v>9</v>
      </c>
      <c r="M40" s="198">
        <f t="shared" si="5"/>
        <v>216.9</v>
      </c>
      <c r="N40" s="12" t="s">
        <v>118</v>
      </c>
      <c r="O40" s="401">
        <v>0.98</v>
      </c>
      <c r="P40" s="402">
        <v>8000</v>
      </c>
      <c r="Q40" s="402">
        <v>8000</v>
      </c>
      <c r="R40" s="408">
        <v>0.7</v>
      </c>
      <c r="S40" s="402">
        <v>5</v>
      </c>
      <c r="T40" s="428">
        <v>30</v>
      </c>
      <c r="U40" s="403">
        <v>73999</v>
      </c>
      <c r="V40" s="403">
        <f t="shared" si="18"/>
        <v>61156.198347107442</v>
      </c>
      <c r="W40" s="403">
        <f t="shared" si="6"/>
        <v>72999</v>
      </c>
      <c r="X40" s="403">
        <v>1000</v>
      </c>
      <c r="Y40" s="403">
        <f t="shared" si="16"/>
        <v>73999</v>
      </c>
      <c r="Z40" s="403"/>
      <c r="AA40" s="12" t="s">
        <v>449</v>
      </c>
      <c r="AB40" s="399">
        <f t="shared" si="7"/>
        <v>341.16643614568926</v>
      </c>
      <c r="AC40" s="400" t="s">
        <v>600</v>
      </c>
      <c r="AD40" s="400" t="s">
        <v>601</v>
      </c>
      <c r="AE40" s="400" t="s">
        <v>52</v>
      </c>
      <c r="AF40" s="400">
        <v>2240</v>
      </c>
      <c r="AG40" s="400">
        <v>1300</v>
      </c>
      <c r="AH40" s="400">
        <v>250</v>
      </c>
      <c r="AI40" s="400">
        <v>2050</v>
      </c>
      <c r="AJ40" s="400">
        <v>168</v>
      </c>
      <c r="AK40" s="400">
        <v>5</v>
      </c>
      <c r="AL40" s="400"/>
      <c r="AM40" s="400"/>
      <c r="AN40" s="400" t="s">
        <v>606</v>
      </c>
      <c r="AO40" s="425">
        <f t="shared" si="19"/>
        <v>-3624.6983471074418</v>
      </c>
    </row>
    <row r="41" spans="2:41" ht="17">
      <c r="E41" s="202">
        <v>5</v>
      </c>
      <c r="H41" s="198" t="str">
        <f t="shared" si="14"/>
        <v>AlphaESS  Storion 241 (3 Fase)</v>
      </c>
      <c r="I41" s="12" t="s">
        <v>119</v>
      </c>
      <c r="J41" s="407" t="s">
        <v>466</v>
      </c>
      <c r="K41" s="198">
        <v>24.1</v>
      </c>
      <c r="L41" s="12">
        <v>10</v>
      </c>
      <c r="M41" s="198">
        <f t="shared" si="5"/>
        <v>241</v>
      </c>
      <c r="N41" s="12" t="s">
        <v>118</v>
      </c>
      <c r="O41" s="401">
        <v>0.98</v>
      </c>
      <c r="P41" s="402">
        <v>8000</v>
      </c>
      <c r="Q41" s="402">
        <v>8000</v>
      </c>
      <c r="R41" s="408">
        <v>0.7</v>
      </c>
      <c r="S41" s="402">
        <v>5</v>
      </c>
      <c r="T41" s="428">
        <v>30</v>
      </c>
      <c r="U41" s="403">
        <v>77999</v>
      </c>
      <c r="V41" s="403">
        <f t="shared" si="18"/>
        <v>64461.983471074382</v>
      </c>
      <c r="W41" s="403">
        <f t="shared" si="6"/>
        <v>76999</v>
      </c>
      <c r="X41" s="403">
        <v>1000</v>
      </c>
      <c r="Y41" s="403">
        <f t="shared" si="16"/>
        <v>77999</v>
      </c>
      <c r="Z41" s="403"/>
      <c r="AA41" s="12" t="s">
        <v>449</v>
      </c>
      <c r="AB41" s="399">
        <f t="shared" si="7"/>
        <v>323.6473029045643</v>
      </c>
      <c r="AC41" s="400" t="s">
        <v>600</v>
      </c>
      <c r="AD41" s="400" t="s">
        <v>601</v>
      </c>
      <c r="AE41" s="400" t="s">
        <v>52</v>
      </c>
      <c r="AF41" s="400">
        <v>2240</v>
      </c>
      <c r="AG41" s="400">
        <v>1300</v>
      </c>
      <c r="AH41" s="400">
        <v>250</v>
      </c>
      <c r="AI41" s="400">
        <v>2050</v>
      </c>
      <c r="AJ41" s="400">
        <v>168</v>
      </c>
      <c r="AK41" s="400">
        <v>5</v>
      </c>
      <c r="AL41" s="400"/>
      <c r="AM41" s="400"/>
      <c r="AN41" s="400" t="s">
        <v>607</v>
      </c>
      <c r="AO41" s="425">
        <f t="shared" si="19"/>
        <v>-4737.9834710743817</v>
      </c>
    </row>
    <row r="42" spans="2:41" ht="17" customHeight="1">
      <c r="B42" s="202">
        <v>2</v>
      </c>
      <c r="H42" s="198" t="str">
        <f t="shared" ref="H42:H44" si="27">I42&amp;" "&amp;" "&amp;J42&amp;" "&amp;M42&amp;" ("&amp;N42&amp;")"</f>
        <v>HYXiPOWER  HYX Hybride 10,07 (1 Fase)</v>
      </c>
      <c r="I42" s="12" t="s">
        <v>443</v>
      </c>
      <c r="J42" s="407" t="s">
        <v>467</v>
      </c>
      <c r="K42" s="198">
        <v>5.0350000000000001</v>
      </c>
      <c r="L42" s="12">
        <v>2</v>
      </c>
      <c r="M42" s="198">
        <f t="shared" si="5"/>
        <v>10.07</v>
      </c>
      <c r="N42" s="12" t="s">
        <v>120</v>
      </c>
      <c r="O42" s="401">
        <v>0.98</v>
      </c>
      <c r="P42" s="402">
        <v>6000</v>
      </c>
      <c r="Q42" s="402">
        <f t="shared" ref="Q42:Q43" si="28">P42</f>
        <v>6000</v>
      </c>
      <c r="R42" s="408">
        <v>0.7</v>
      </c>
      <c r="S42" s="402">
        <v>10</v>
      </c>
      <c r="T42" s="402">
        <v>5</v>
      </c>
      <c r="U42" s="403">
        <v>8499</v>
      </c>
      <c r="V42" s="403">
        <f t="shared" ref="V42:V44" si="29">U42/1.21</f>
        <v>7023.9669421487606</v>
      </c>
      <c r="W42" s="403">
        <f t="shared" si="6"/>
        <v>7499</v>
      </c>
      <c r="X42" s="403">
        <v>1000</v>
      </c>
      <c r="Y42" s="403">
        <f>U42-Z42</f>
        <v>8499</v>
      </c>
      <c r="Z42" s="403"/>
      <c r="AA42" s="12" t="s">
        <v>448</v>
      </c>
      <c r="AB42" s="399">
        <f t="shared" si="7"/>
        <v>843.99205561072495</v>
      </c>
      <c r="AC42" s="400" t="s">
        <v>581</v>
      </c>
      <c r="AD42" s="400" t="s">
        <v>608</v>
      </c>
      <c r="AE42" s="400" t="s">
        <v>52</v>
      </c>
      <c r="AF42" s="400">
        <v>700</v>
      </c>
      <c r="AG42" s="400">
        <v>200</v>
      </c>
      <c r="AH42" s="400">
        <v>350</v>
      </c>
      <c r="AI42" s="400">
        <v>950</v>
      </c>
      <c r="AJ42" s="400">
        <v>44</v>
      </c>
      <c r="AK42" s="400">
        <v>5</v>
      </c>
      <c r="AL42" s="400" t="s">
        <v>609</v>
      </c>
      <c r="AM42" s="400"/>
      <c r="AN42" s="400" t="s">
        <v>610</v>
      </c>
      <c r="AO42" s="425"/>
    </row>
    <row r="43" spans="2:41" ht="17" customHeight="1">
      <c r="B43" s="202">
        <v>2</v>
      </c>
      <c r="H43" s="198" t="str">
        <f t="shared" si="27"/>
        <v>HYXiPOWER  HYX Hybride 15,11 (1 Fase)</v>
      </c>
      <c r="I43" s="12" t="s">
        <v>443</v>
      </c>
      <c r="J43" s="407" t="s">
        <v>467</v>
      </c>
      <c r="K43" s="198">
        <v>5.0350000000000001</v>
      </c>
      <c r="L43" s="12">
        <v>3</v>
      </c>
      <c r="M43" s="198">
        <f t="shared" si="5"/>
        <v>15.11</v>
      </c>
      <c r="N43" s="12" t="s">
        <v>120</v>
      </c>
      <c r="O43" s="401">
        <v>0.98</v>
      </c>
      <c r="P43" s="402">
        <v>6000</v>
      </c>
      <c r="Q43" s="402">
        <f t="shared" si="28"/>
        <v>6000</v>
      </c>
      <c r="R43" s="408">
        <v>0.7</v>
      </c>
      <c r="S43" s="402">
        <v>10</v>
      </c>
      <c r="T43" s="402">
        <v>5</v>
      </c>
      <c r="U43" s="403">
        <v>9999</v>
      </c>
      <c r="V43" s="403">
        <f t="shared" si="29"/>
        <v>8263.636363636364</v>
      </c>
      <c r="W43" s="403">
        <f t="shared" si="6"/>
        <v>8999</v>
      </c>
      <c r="X43" s="403">
        <v>1000</v>
      </c>
      <c r="Y43" s="403">
        <f>U43-Z43</f>
        <v>9999</v>
      </c>
      <c r="Z43" s="403"/>
      <c r="AA43" s="12" t="s">
        <v>448</v>
      </c>
      <c r="AB43" s="399">
        <f t="shared" si="7"/>
        <v>661.7471872931834</v>
      </c>
      <c r="AC43" s="400" t="s">
        <v>581</v>
      </c>
      <c r="AD43" s="400" t="s">
        <v>608</v>
      </c>
      <c r="AE43" s="400" t="s">
        <v>52</v>
      </c>
      <c r="AF43" s="400">
        <v>700</v>
      </c>
      <c r="AG43" s="400">
        <v>200</v>
      </c>
      <c r="AH43" s="400">
        <v>350</v>
      </c>
      <c r="AI43" s="400">
        <v>1300</v>
      </c>
      <c r="AJ43" s="400">
        <v>44</v>
      </c>
      <c r="AK43" s="400">
        <v>5</v>
      </c>
      <c r="AL43" s="400" t="s">
        <v>609</v>
      </c>
      <c r="AM43" s="400"/>
      <c r="AN43" s="400"/>
      <c r="AO43" s="425"/>
    </row>
    <row r="44" spans="2:41" ht="17" customHeight="1">
      <c r="B44" s="202">
        <v>2</v>
      </c>
      <c r="H44" s="198" t="str">
        <f t="shared" si="27"/>
        <v>HYXiPOWER  HYX Hybride 20,14 (1 Fase)</v>
      </c>
      <c r="I44" s="12" t="s">
        <v>443</v>
      </c>
      <c r="J44" s="407" t="s">
        <v>467</v>
      </c>
      <c r="K44" s="198">
        <v>5.0350000000000001</v>
      </c>
      <c r="L44" s="12">
        <v>4</v>
      </c>
      <c r="M44" s="198">
        <f t="shared" si="5"/>
        <v>20.14</v>
      </c>
      <c r="N44" s="12" t="s">
        <v>120</v>
      </c>
      <c r="O44" s="401">
        <v>0.98</v>
      </c>
      <c r="P44" s="402">
        <v>6000</v>
      </c>
      <c r="Q44" s="402">
        <v>6000</v>
      </c>
      <c r="R44" s="408">
        <v>0.7</v>
      </c>
      <c r="S44" s="402">
        <v>10</v>
      </c>
      <c r="T44" s="402">
        <v>5</v>
      </c>
      <c r="U44" s="403">
        <v>11499</v>
      </c>
      <c r="V44" s="403">
        <f t="shared" si="29"/>
        <v>9503.3057851239664</v>
      </c>
      <c r="W44" s="403">
        <f t="shared" si="6"/>
        <v>10499</v>
      </c>
      <c r="X44" s="403">
        <v>1000</v>
      </c>
      <c r="Y44" s="403">
        <f>U44-Z44</f>
        <v>11499</v>
      </c>
      <c r="Z44" s="403"/>
      <c r="AA44" s="12" t="s">
        <v>448</v>
      </c>
      <c r="AB44" s="399">
        <f t="shared" si="7"/>
        <v>570.95332671300889</v>
      </c>
      <c r="AC44" s="400" t="s">
        <v>581</v>
      </c>
      <c r="AD44" s="400" t="s">
        <v>608</v>
      </c>
      <c r="AE44" s="400" t="s">
        <v>52</v>
      </c>
      <c r="AF44" s="400">
        <v>700</v>
      </c>
      <c r="AG44" s="400">
        <v>200</v>
      </c>
      <c r="AH44" s="400">
        <v>350</v>
      </c>
      <c r="AI44" s="400">
        <v>1650</v>
      </c>
      <c r="AJ44" s="400">
        <v>44</v>
      </c>
      <c r="AK44" s="400">
        <v>5</v>
      </c>
      <c r="AL44" s="400" t="s">
        <v>609</v>
      </c>
      <c r="AM44" s="400"/>
      <c r="AN44" s="400"/>
      <c r="AO44" s="425"/>
    </row>
    <row r="45" spans="2:41" ht="17" customHeight="1">
      <c r="B45" s="202">
        <v>2</v>
      </c>
      <c r="H45" s="198" t="str">
        <f t="shared" ref="H45" si="30">I45&amp;" "&amp;" "&amp;J45&amp;" "&amp;M45&amp;" ("&amp;N45&amp;")"</f>
        <v>HYXiPOWER  HYX Hybride 25,18 (1 Fase)</v>
      </c>
      <c r="I45" s="12" t="s">
        <v>443</v>
      </c>
      <c r="J45" s="407" t="s">
        <v>467</v>
      </c>
      <c r="K45" s="198">
        <v>5.0350000000000001</v>
      </c>
      <c r="L45" s="12">
        <v>5</v>
      </c>
      <c r="M45" s="198">
        <f t="shared" si="5"/>
        <v>25.18</v>
      </c>
      <c r="N45" s="12" t="s">
        <v>120</v>
      </c>
      <c r="O45" s="401">
        <v>0.98</v>
      </c>
      <c r="P45" s="402">
        <v>6000</v>
      </c>
      <c r="Q45" s="402">
        <v>6000</v>
      </c>
      <c r="R45" s="408">
        <v>0.7</v>
      </c>
      <c r="S45" s="402">
        <v>10</v>
      </c>
      <c r="T45" s="402">
        <v>5</v>
      </c>
      <c r="U45" s="403">
        <v>12999</v>
      </c>
      <c r="V45" s="403">
        <f t="shared" ref="V45" si="31">U45/1.21</f>
        <v>10742.975206611571</v>
      </c>
      <c r="W45" s="403">
        <f t="shared" si="6"/>
        <v>11999</v>
      </c>
      <c r="X45" s="403">
        <v>1000</v>
      </c>
      <c r="Y45" s="403">
        <f t="shared" ref="Y45" si="32">U45-Z45</f>
        <v>12999</v>
      </c>
      <c r="Z45" s="403"/>
      <c r="AA45" s="12" t="s">
        <v>448</v>
      </c>
      <c r="AB45" s="399">
        <f t="shared" si="7"/>
        <v>516.24305003971403</v>
      </c>
      <c r="AC45" s="400" t="s">
        <v>581</v>
      </c>
      <c r="AD45" s="400" t="s">
        <v>611</v>
      </c>
      <c r="AE45" s="400" t="s">
        <v>52</v>
      </c>
      <c r="AF45" s="400">
        <v>700</v>
      </c>
      <c r="AG45" s="400">
        <v>200</v>
      </c>
      <c r="AH45" s="400">
        <v>350</v>
      </c>
      <c r="AI45" s="400">
        <v>2000</v>
      </c>
      <c r="AJ45" s="400">
        <v>44</v>
      </c>
      <c r="AK45" s="400">
        <v>5</v>
      </c>
      <c r="AL45" s="400" t="s">
        <v>609</v>
      </c>
      <c r="AM45" s="400"/>
      <c r="AN45" s="400" t="s">
        <v>612</v>
      </c>
      <c r="AO45" s="425"/>
    </row>
    <row r="46" spans="2:41" ht="17" customHeight="1">
      <c r="F46" s="202">
        <v>6</v>
      </c>
      <c r="H46" s="198" t="str">
        <f t="shared" si="14"/>
        <v>HYXiPOWER  HYX Hybride 10,07 (3 Fase)</v>
      </c>
      <c r="I46" s="12" t="s">
        <v>443</v>
      </c>
      <c r="J46" s="407" t="s">
        <v>467</v>
      </c>
      <c r="K46" s="198">
        <v>5.0350000000000001</v>
      </c>
      <c r="L46" s="12">
        <v>2</v>
      </c>
      <c r="M46" s="198">
        <f t="shared" si="5"/>
        <v>10.07</v>
      </c>
      <c r="N46" s="12" t="s">
        <v>118</v>
      </c>
      <c r="O46" s="401">
        <v>0.98</v>
      </c>
      <c r="P46" s="402">
        <v>6000</v>
      </c>
      <c r="Q46" s="402">
        <f t="shared" ref="Q46:Q47" si="33">P46</f>
        <v>6000</v>
      </c>
      <c r="R46" s="408">
        <v>0.7</v>
      </c>
      <c r="S46" s="402">
        <v>10</v>
      </c>
      <c r="T46" s="402">
        <v>10</v>
      </c>
      <c r="U46" s="403">
        <v>8499</v>
      </c>
      <c r="V46" s="403">
        <f t="shared" si="18"/>
        <v>7023.9669421487606</v>
      </c>
      <c r="W46" s="403">
        <f t="shared" si="6"/>
        <v>7499</v>
      </c>
      <c r="X46" s="403">
        <v>1000</v>
      </c>
      <c r="Y46" s="403">
        <f t="shared" si="16"/>
        <v>8499</v>
      </c>
      <c r="Z46" s="403"/>
      <c r="AA46" s="12" t="s">
        <v>448</v>
      </c>
      <c r="AB46" s="399">
        <f t="shared" si="7"/>
        <v>843.99205561072495</v>
      </c>
      <c r="AC46" s="400" t="s">
        <v>581</v>
      </c>
      <c r="AD46" s="400" t="s">
        <v>608</v>
      </c>
      <c r="AE46" s="400" t="s">
        <v>52</v>
      </c>
      <c r="AF46" s="400">
        <v>700</v>
      </c>
      <c r="AG46" s="400">
        <v>200</v>
      </c>
      <c r="AH46" s="400">
        <v>350</v>
      </c>
      <c r="AI46" s="400">
        <v>950</v>
      </c>
      <c r="AJ46" s="400">
        <v>44</v>
      </c>
      <c r="AK46" s="400">
        <v>5</v>
      </c>
      <c r="AL46" s="400" t="s">
        <v>609</v>
      </c>
      <c r="AM46" s="400"/>
      <c r="AN46" s="400" t="s">
        <v>613</v>
      </c>
      <c r="AO46" s="425"/>
    </row>
    <row r="47" spans="2:41" ht="17" customHeight="1">
      <c r="F47" s="202">
        <v>6</v>
      </c>
      <c r="H47" s="198" t="str">
        <f t="shared" si="14"/>
        <v>HYXiPOWER  HYX Hybride 15,11 (3 Fase)</v>
      </c>
      <c r="I47" s="12" t="s">
        <v>443</v>
      </c>
      <c r="J47" s="407" t="s">
        <v>467</v>
      </c>
      <c r="K47" s="198">
        <v>5.0350000000000001</v>
      </c>
      <c r="L47" s="12">
        <v>3</v>
      </c>
      <c r="M47" s="198">
        <f t="shared" si="5"/>
        <v>15.11</v>
      </c>
      <c r="N47" s="12" t="s">
        <v>118</v>
      </c>
      <c r="O47" s="401">
        <v>0.98</v>
      </c>
      <c r="P47" s="402">
        <v>6000</v>
      </c>
      <c r="Q47" s="402">
        <f t="shared" si="33"/>
        <v>6000</v>
      </c>
      <c r="R47" s="408">
        <v>0.7</v>
      </c>
      <c r="S47" s="402">
        <v>10</v>
      </c>
      <c r="T47" s="402">
        <v>10</v>
      </c>
      <c r="U47" s="403">
        <v>9999</v>
      </c>
      <c r="V47" s="403">
        <f t="shared" si="18"/>
        <v>8263.636363636364</v>
      </c>
      <c r="W47" s="403">
        <f t="shared" si="6"/>
        <v>8999</v>
      </c>
      <c r="X47" s="403">
        <v>1000</v>
      </c>
      <c r="Y47" s="403">
        <f t="shared" si="16"/>
        <v>9999</v>
      </c>
      <c r="Z47" s="403"/>
      <c r="AA47" s="12" t="s">
        <v>448</v>
      </c>
      <c r="AB47" s="399">
        <f t="shared" si="7"/>
        <v>661.7471872931834</v>
      </c>
      <c r="AC47" s="400" t="s">
        <v>581</v>
      </c>
      <c r="AD47" s="400" t="s">
        <v>608</v>
      </c>
      <c r="AE47" s="400" t="s">
        <v>52</v>
      </c>
      <c r="AF47" s="400">
        <v>700</v>
      </c>
      <c r="AG47" s="400">
        <v>200</v>
      </c>
      <c r="AH47" s="400">
        <v>350</v>
      </c>
      <c r="AI47" s="400">
        <v>1300</v>
      </c>
      <c r="AJ47" s="400">
        <v>44</v>
      </c>
      <c r="AK47" s="400">
        <v>5</v>
      </c>
      <c r="AL47" s="400" t="s">
        <v>609</v>
      </c>
      <c r="AM47" s="400"/>
      <c r="AN47" s="400"/>
      <c r="AO47" s="425"/>
    </row>
    <row r="48" spans="2:41" ht="17" customHeight="1">
      <c r="F48" s="202">
        <v>6</v>
      </c>
      <c r="H48" s="198" t="str">
        <f t="shared" si="14"/>
        <v>HYXiPOWER  HYX Hybride 20,14 (3 Fase)</v>
      </c>
      <c r="I48" s="12" t="s">
        <v>443</v>
      </c>
      <c r="J48" s="407" t="s">
        <v>467</v>
      </c>
      <c r="K48" s="198">
        <v>5.0350000000000001</v>
      </c>
      <c r="L48" s="12">
        <v>4</v>
      </c>
      <c r="M48" s="198">
        <f t="shared" si="5"/>
        <v>20.14</v>
      </c>
      <c r="N48" s="12" t="s">
        <v>118</v>
      </c>
      <c r="O48" s="401">
        <v>0.98</v>
      </c>
      <c r="P48" s="402">
        <v>6000</v>
      </c>
      <c r="Q48" s="402">
        <v>6000</v>
      </c>
      <c r="R48" s="408">
        <v>0.7</v>
      </c>
      <c r="S48" s="402">
        <v>10</v>
      </c>
      <c r="T48" s="402">
        <v>10</v>
      </c>
      <c r="U48" s="403">
        <v>11499</v>
      </c>
      <c r="V48" s="403">
        <f t="shared" si="18"/>
        <v>9503.3057851239664</v>
      </c>
      <c r="W48" s="403">
        <f t="shared" si="6"/>
        <v>10499</v>
      </c>
      <c r="X48" s="403">
        <v>1000</v>
      </c>
      <c r="Y48" s="403">
        <f t="shared" si="16"/>
        <v>11499</v>
      </c>
      <c r="Z48" s="403"/>
      <c r="AA48" s="12" t="s">
        <v>448</v>
      </c>
      <c r="AB48" s="399">
        <f t="shared" si="7"/>
        <v>570.95332671300889</v>
      </c>
      <c r="AC48" s="400" t="s">
        <v>581</v>
      </c>
      <c r="AD48" s="400" t="s">
        <v>608</v>
      </c>
      <c r="AE48" s="400" t="s">
        <v>52</v>
      </c>
      <c r="AF48" s="400">
        <v>700</v>
      </c>
      <c r="AG48" s="400">
        <v>200</v>
      </c>
      <c r="AH48" s="400">
        <v>350</v>
      </c>
      <c r="AI48" s="400">
        <v>1650</v>
      </c>
      <c r="AJ48" s="400">
        <v>44</v>
      </c>
      <c r="AK48" s="400">
        <v>5</v>
      </c>
      <c r="AL48" s="400" t="s">
        <v>609</v>
      </c>
      <c r="AM48" s="400"/>
      <c r="AN48" s="400"/>
      <c r="AO48" s="425"/>
    </row>
    <row r="49" spans="6:42" ht="17" customHeight="1">
      <c r="F49" s="202">
        <v>6</v>
      </c>
      <c r="H49" s="198" t="str">
        <f t="shared" si="14"/>
        <v>HYXiPOWER  HYX Hybride 25,18 (3 Fase)</v>
      </c>
      <c r="I49" s="12" t="s">
        <v>443</v>
      </c>
      <c r="J49" s="407" t="s">
        <v>467</v>
      </c>
      <c r="K49" s="198">
        <v>5.0350000000000001</v>
      </c>
      <c r="L49" s="12">
        <v>5</v>
      </c>
      <c r="M49" s="198">
        <f t="shared" si="5"/>
        <v>25.18</v>
      </c>
      <c r="N49" s="12" t="s">
        <v>118</v>
      </c>
      <c r="O49" s="401">
        <v>0.98</v>
      </c>
      <c r="P49" s="402">
        <v>6000</v>
      </c>
      <c r="Q49" s="402">
        <v>6000</v>
      </c>
      <c r="R49" s="408">
        <v>0.7</v>
      </c>
      <c r="S49" s="402">
        <v>10</v>
      </c>
      <c r="T49" s="402">
        <v>10</v>
      </c>
      <c r="U49" s="403">
        <v>12999</v>
      </c>
      <c r="V49" s="403">
        <f t="shared" si="18"/>
        <v>10742.975206611571</v>
      </c>
      <c r="W49" s="403">
        <f t="shared" si="6"/>
        <v>11999</v>
      </c>
      <c r="X49" s="403">
        <v>1000</v>
      </c>
      <c r="Y49" s="403">
        <f t="shared" si="16"/>
        <v>12999</v>
      </c>
      <c r="Z49" s="403"/>
      <c r="AA49" s="12" t="s">
        <v>448</v>
      </c>
      <c r="AB49" s="399">
        <f t="shared" si="7"/>
        <v>516.24305003971403</v>
      </c>
      <c r="AC49" s="400" t="s">
        <v>581</v>
      </c>
      <c r="AD49" s="400" t="s">
        <v>608</v>
      </c>
      <c r="AE49" s="400" t="s">
        <v>52</v>
      </c>
      <c r="AF49" s="400">
        <v>700</v>
      </c>
      <c r="AG49" s="400">
        <v>200</v>
      </c>
      <c r="AH49" s="400">
        <v>350</v>
      </c>
      <c r="AI49" s="400">
        <v>2000</v>
      </c>
      <c r="AJ49" s="400">
        <v>44</v>
      </c>
      <c r="AK49" s="400">
        <v>5</v>
      </c>
      <c r="AL49" s="400" t="s">
        <v>609</v>
      </c>
      <c r="AM49" s="400"/>
      <c r="AN49" s="400" t="s">
        <v>614</v>
      </c>
      <c r="AO49" s="425"/>
    </row>
    <row r="50" spans="6:42" ht="17" customHeight="1">
      <c r="F50" s="202">
        <v>6</v>
      </c>
      <c r="H50" s="198" t="str">
        <f t="shared" si="14"/>
        <v>HYXiPOWER  HYX Hybride 30,21 (3 Fase)</v>
      </c>
      <c r="I50" s="12" t="s">
        <v>443</v>
      </c>
      <c r="J50" s="407" t="s">
        <v>467</v>
      </c>
      <c r="K50" s="198">
        <v>5.0350000000000001</v>
      </c>
      <c r="L50" s="12">
        <v>6</v>
      </c>
      <c r="M50" s="198">
        <f t="shared" si="5"/>
        <v>30.21</v>
      </c>
      <c r="N50" s="12" t="s">
        <v>118</v>
      </c>
      <c r="O50" s="401">
        <v>0.98</v>
      </c>
      <c r="P50" s="402">
        <v>6000</v>
      </c>
      <c r="Q50" s="402">
        <v>6000</v>
      </c>
      <c r="R50" s="408">
        <v>0.7</v>
      </c>
      <c r="S50" s="402">
        <v>10</v>
      </c>
      <c r="T50" s="402">
        <v>10</v>
      </c>
      <c r="U50" s="403">
        <v>15499</v>
      </c>
      <c r="V50" s="403">
        <f t="shared" si="18"/>
        <v>12809.09090909091</v>
      </c>
      <c r="W50" s="403">
        <f t="shared" si="6"/>
        <v>14499</v>
      </c>
      <c r="X50" s="403">
        <v>1000</v>
      </c>
      <c r="Y50" s="403">
        <f t="shared" si="16"/>
        <v>13499</v>
      </c>
      <c r="Z50" s="403">
        <v>2000</v>
      </c>
      <c r="AA50" s="12" t="s">
        <v>448</v>
      </c>
      <c r="AB50" s="399">
        <f t="shared" si="7"/>
        <v>513.04203905991392</v>
      </c>
      <c r="AC50" s="400" t="s">
        <v>581</v>
      </c>
      <c r="AD50" s="400" t="s">
        <v>608</v>
      </c>
      <c r="AE50" s="400" t="s">
        <v>52</v>
      </c>
      <c r="AF50" s="400">
        <v>1400</v>
      </c>
      <c r="AG50" s="400">
        <v>200</v>
      </c>
      <c r="AH50" s="400">
        <v>350</v>
      </c>
      <c r="AI50" s="400">
        <v>1350</v>
      </c>
      <c r="AJ50" s="400">
        <v>44</v>
      </c>
      <c r="AK50" s="400">
        <v>5</v>
      </c>
      <c r="AL50" s="400" t="s">
        <v>609</v>
      </c>
      <c r="AM50" s="400"/>
      <c r="AN50" s="400" t="s">
        <v>615</v>
      </c>
      <c r="AO50" s="425"/>
    </row>
    <row r="51" spans="6:42" ht="17" customHeight="1">
      <c r="F51" s="202">
        <v>6</v>
      </c>
      <c r="H51" s="198" t="str">
        <f t="shared" si="14"/>
        <v>HYXiPOWER  HYX Hybride 40,28 (3 Fase)</v>
      </c>
      <c r="I51" s="12" t="s">
        <v>443</v>
      </c>
      <c r="J51" s="407" t="s">
        <v>467</v>
      </c>
      <c r="K51" s="198">
        <v>5.0350000000000001</v>
      </c>
      <c r="L51" s="12">
        <v>8</v>
      </c>
      <c r="M51" s="427">
        <f t="shared" si="5"/>
        <v>40.28</v>
      </c>
      <c r="N51" s="12" t="s">
        <v>118</v>
      </c>
      <c r="O51" s="401">
        <v>0.98</v>
      </c>
      <c r="P51" s="402">
        <v>6000</v>
      </c>
      <c r="Q51" s="402">
        <v>6000</v>
      </c>
      <c r="R51" s="408">
        <v>0.7</v>
      </c>
      <c r="S51" s="402">
        <v>10</v>
      </c>
      <c r="T51" s="402">
        <v>10</v>
      </c>
      <c r="U51" s="403">
        <v>18499</v>
      </c>
      <c r="V51" s="403">
        <f t="shared" si="18"/>
        <v>15288.429752066117</v>
      </c>
      <c r="W51" s="403">
        <f t="shared" si="6"/>
        <v>17499</v>
      </c>
      <c r="X51" s="403">
        <v>1000</v>
      </c>
      <c r="Y51" s="403">
        <f t="shared" si="16"/>
        <v>18499</v>
      </c>
      <c r="Z51" s="403"/>
      <c r="AA51" s="12" t="s">
        <v>448</v>
      </c>
      <c r="AB51" s="399">
        <f t="shared" si="7"/>
        <v>459.26017874875868</v>
      </c>
      <c r="AC51" s="400" t="s">
        <v>581</v>
      </c>
      <c r="AD51" s="400" t="s">
        <v>608</v>
      </c>
      <c r="AE51" s="400" t="s">
        <v>52</v>
      </c>
      <c r="AF51" s="400">
        <v>1400</v>
      </c>
      <c r="AG51" s="400">
        <v>200</v>
      </c>
      <c r="AH51" s="400">
        <v>350</v>
      </c>
      <c r="AI51" s="400">
        <v>1700</v>
      </c>
      <c r="AJ51" s="400">
        <v>44</v>
      </c>
      <c r="AK51" s="400">
        <v>5</v>
      </c>
      <c r="AL51" s="400" t="s">
        <v>609</v>
      </c>
      <c r="AM51" s="400"/>
      <c r="AN51" s="400" t="s">
        <v>616</v>
      </c>
      <c r="AO51" s="425">
        <f>Y51-Y51/1.21-5*15*M51-4*50</f>
        <v>-10.429752066116635</v>
      </c>
      <c r="AP51" s="426"/>
    </row>
    <row r="52" spans="6:42" ht="17" customHeight="1">
      <c r="F52" s="202">
        <v>6</v>
      </c>
      <c r="H52" s="198" t="str">
        <f t="shared" si="14"/>
        <v>HYXiPOWER  HYX Hybride 50,35 (3 Fase)</v>
      </c>
      <c r="I52" s="12" t="s">
        <v>443</v>
      </c>
      <c r="J52" s="407" t="s">
        <v>467</v>
      </c>
      <c r="K52" s="198">
        <v>5.0350000000000001</v>
      </c>
      <c r="L52" s="12">
        <v>10</v>
      </c>
      <c r="M52" s="427">
        <f t="shared" si="5"/>
        <v>50.35</v>
      </c>
      <c r="N52" s="12" t="s">
        <v>118</v>
      </c>
      <c r="O52" s="401">
        <v>0.98</v>
      </c>
      <c r="P52" s="402">
        <v>6000</v>
      </c>
      <c r="Q52" s="402">
        <v>6000</v>
      </c>
      <c r="R52" s="408">
        <v>0.7</v>
      </c>
      <c r="S52" s="402">
        <v>10</v>
      </c>
      <c r="T52" s="402">
        <v>10</v>
      </c>
      <c r="U52" s="403">
        <v>21499</v>
      </c>
      <c r="V52" s="403">
        <f t="shared" si="18"/>
        <v>17767.768595041322</v>
      </c>
      <c r="W52" s="403">
        <f t="shared" si="6"/>
        <v>20499</v>
      </c>
      <c r="X52" s="403">
        <v>1000</v>
      </c>
      <c r="Y52" s="403">
        <f t="shared" si="16"/>
        <v>21499</v>
      </c>
      <c r="Z52" s="403"/>
      <c r="AA52" s="12" t="s">
        <v>448</v>
      </c>
      <c r="AB52" s="399">
        <f t="shared" si="7"/>
        <v>426.99106256206551</v>
      </c>
      <c r="AC52" s="400" t="s">
        <v>581</v>
      </c>
      <c r="AD52" s="400" t="s">
        <v>608</v>
      </c>
      <c r="AE52" s="400" t="s">
        <v>52</v>
      </c>
      <c r="AF52" s="400">
        <v>1400</v>
      </c>
      <c r="AG52" s="400">
        <v>200</v>
      </c>
      <c r="AH52" s="400">
        <v>350</v>
      </c>
      <c r="AI52" s="400">
        <v>2050</v>
      </c>
      <c r="AJ52" s="400">
        <v>44</v>
      </c>
      <c r="AK52" s="400">
        <v>5</v>
      </c>
      <c r="AL52" s="400" t="s">
        <v>609</v>
      </c>
      <c r="AM52" s="400"/>
      <c r="AN52" s="400" t="s">
        <v>617</v>
      </c>
      <c r="AO52" s="425">
        <f t="shared" si="19"/>
        <v>-245.01859504132153</v>
      </c>
    </row>
    <row r="53" spans="6:42" ht="17" customHeight="1">
      <c r="G53" s="202">
        <v>7</v>
      </c>
      <c r="H53" s="198" t="str">
        <f t="shared" si="14"/>
        <v>HYXiPOWER  HYX All-In-One 10,07 (3 Fase)</v>
      </c>
      <c r="I53" s="12" t="s">
        <v>443</v>
      </c>
      <c r="J53" s="407" t="s">
        <v>468</v>
      </c>
      <c r="K53" s="198">
        <v>5.0350000000000001</v>
      </c>
      <c r="L53" s="12">
        <v>2</v>
      </c>
      <c r="M53" s="198">
        <f t="shared" si="5"/>
        <v>10.07</v>
      </c>
      <c r="N53" s="12" t="s">
        <v>118</v>
      </c>
      <c r="O53" s="401">
        <v>0.98</v>
      </c>
      <c r="P53" s="402">
        <v>10000</v>
      </c>
      <c r="Q53" s="402" t="s">
        <v>444</v>
      </c>
      <c r="R53" s="408">
        <v>0.7</v>
      </c>
      <c r="S53" s="402">
        <v>10</v>
      </c>
      <c r="T53" s="402">
        <v>6</v>
      </c>
      <c r="U53" s="403">
        <f>11499+500</f>
        <v>11999</v>
      </c>
      <c r="V53" s="403">
        <f t="shared" si="18"/>
        <v>9916.5289256198357</v>
      </c>
      <c r="W53" s="403">
        <f t="shared" si="6"/>
        <v>10999</v>
      </c>
      <c r="X53" s="403">
        <v>1000</v>
      </c>
      <c r="Y53" s="403">
        <f t="shared" si="16"/>
        <v>11999</v>
      </c>
      <c r="Z53" s="403"/>
      <c r="AA53" s="12" t="s">
        <v>449</v>
      </c>
      <c r="AB53" s="399">
        <f t="shared" si="7"/>
        <v>1191.5590863952334</v>
      </c>
      <c r="AC53" s="400" t="s">
        <v>608</v>
      </c>
      <c r="AD53" s="400" t="s">
        <v>608</v>
      </c>
      <c r="AE53" s="400" t="s">
        <v>52</v>
      </c>
      <c r="AF53" s="400">
        <v>700</v>
      </c>
      <c r="AG53" s="400">
        <v>200</v>
      </c>
      <c r="AH53" s="400">
        <v>350</v>
      </c>
      <c r="AI53" s="400">
        <v>1320</v>
      </c>
      <c r="AJ53" s="400">
        <v>50</v>
      </c>
      <c r="AK53" s="400">
        <v>5</v>
      </c>
      <c r="AL53" s="400" t="s">
        <v>609</v>
      </c>
      <c r="AM53" s="400"/>
      <c r="AN53" s="400" t="s">
        <v>618</v>
      </c>
      <c r="AO53" s="425"/>
    </row>
    <row r="54" spans="6:42" ht="17" customHeight="1">
      <c r="G54" s="202">
        <v>7</v>
      </c>
      <c r="H54" s="198" t="str">
        <f t="shared" si="14"/>
        <v>HYXiPOWER  HYX All-In-One 15,11 (3 Fase)</v>
      </c>
      <c r="I54" s="12" t="s">
        <v>443</v>
      </c>
      <c r="J54" s="407" t="s">
        <v>468</v>
      </c>
      <c r="K54" s="198">
        <v>5.0350000000000001</v>
      </c>
      <c r="L54" s="12">
        <v>3</v>
      </c>
      <c r="M54" s="198">
        <f t="shared" si="5"/>
        <v>15.11</v>
      </c>
      <c r="N54" s="12" t="s">
        <v>118</v>
      </c>
      <c r="O54" s="401">
        <v>0.98</v>
      </c>
      <c r="P54" s="402">
        <v>10000</v>
      </c>
      <c r="Q54" s="402" t="s">
        <v>444</v>
      </c>
      <c r="R54" s="408">
        <v>0.7</v>
      </c>
      <c r="S54" s="402">
        <v>10</v>
      </c>
      <c r="T54" s="402">
        <v>8</v>
      </c>
      <c r="U54" s="403">
        <f>12999+500</f>
        <v>13499</v>
      </c>
      <c r="V54" s="403">
        <f t="shared" si="18"/>
        <v>11156.198347107438</v>
      </c>
      <c r="W54" s="403">
        <f t="shared" si="6"/>
        <v>12499</v>
      </c>
      <c r="X54" s="403">
        <v>1000</v>
      </c>
      <c r="Y54" s="403">
        <f t="shared" si="16"/>
        <v>13499</v>
      </c>
      <c r="Z54" s="403"/>
      <c r="AA54" s="12" t="s">
        <v>449</v>
      </c>
      <c r="AB54" s="399">
        <f t="shared" si="7"/>
        <v>893.38186631369956</v>
      </c>
      <c r="AC54" s="400" t="s">
        <v>608</v>
      </c>
      <c r="AD54" s="400" t="s">
        <v>608</v>
      </c>
      <c r="AE54" s="400" t="s">
        <v>52</v>
      </c>
      <c r="AF54" s="400">
        <v>700</v>
      </c>
      <c r="AG54" s="400">
        <v>200</v>
      </c>
      <c r="AH54" s="400">
        <v>350</v>
      </c>
      <c r="AI54" s="400">
        <v>1670</v>
      </c>
      <c r="AJ54" s="400">
        <v>50</v>
      </c>
      <c r="AK54" s="400">
        <v>5</v>
      </c>
      <c r="AL54" s="400" t="s">
        <v>609</v>
      </c>
      <c r="AM54" s="400"/>
      <c r="AN54" s="400" t="s">
        <v>619</v>
      </c>
      <c r="AO54" s="425"/>
    </row>
    <row r="55" spans="6:42" ht="17" customHeight="1">
      <c r="G55" s="202">
        <v>7</v>
      </c>
      <c r="H55" s="198" t="str">
        <f t="shared" si="14"/>
        <v>HYXiPOWER  HYX All-In-One 20,14 (3 Fase)</v>
      </c>
      <c r="I55" s="12" t="s">
        <v>443</v>
      </c>
      <c r="J55" s="407" t="s">
        <v>468</v>
      </c>
      <c r="K55" s="198">
        <v>5.0350000000000001</v>
      </c>
      <c r="L55" s="12">
        <v>4</v>
      </c>
      <c r="M55" s="198">
        <f t="shared" si="5"/>
        <v>20.14</v>
      </c>
      <c r="N55" s="12" t="s">
        <v>118</v>
      </c>
      <c r="O55" s="401">
        <v>0.98</v>
      </c>
      <c r="P55" s="402">
        <v>10000</v>
      </c>
      <c r="Q55" s="402" t="s">
        <v>444</v>
      </c>
      <c r="R55" s="408">
        <v>0.7</v>
      </c>
      <c r="S55" s="402">
        <v>10</v>
      </c>
      <c r="T55" s="402">
        <v>11</v>
      </c>
      <c r="U55" s="403">
        <f>14499+500</f>
        <v>14999</v>
      </c>
      <c r="V55" s="403">
        <f t="shared" si="18"/>
        <v>12395.867768595042</v>
      </c>
      <c r="W55" s="403">
        <f t="shared" si="6"/>
        <v>13999</v>
      </c>
      <c r="X55" s="403">
        <v>1000</v>
      </c>
      <c r="Y55" s="403">
        <f t="shared" si="16"/>
        <v>13999</v>
      </c>
      <c r="Z55" s="403">
        <v>1000</v>
      </c>
      <c r="AA55" s="12" t="s">
        <v>449</v>
      </c>
      <c r="AB55" s="399">
        <f t="shared" si="7"/>
        <v>744.73684210526312</v>
      </c>
      <c r="AC55" s="400" t="s">
        <v>608</v>
      </c>
      <c r="AD55" s="400" t="s">
        <v>608</v>
      </c>
      <c r="AE55" s="400" t="s">
        <v>52</v>
      </c>
      <c r="AF55" s="400">
        <v>700</v>
      </c>
      <c r="AG55" s="400">
        <v>200</v>
      </c>
      <c r="AH55" s="400">
        <v>350</v>
      </c>
      <c r="AI55" s="400">
        <v>2020</v>
      </c>
      <c r="AJ55" s="400">
        <v>50</v>
      </c>
      <c r="AK55" s="400">
        <v>5</v>
      </c>
      <c r="AL55" s="400" t="s">
        <v>609</v>
      </c>
      <c r="AM55" s="400"/>
      <c r="AN55" s="400" t="s">
        <v>620</v>
      </c>
      <c r="AO55" s="425"/>
    </row>
    <row r="56" spans="6:42" ht="17" customHeight="1">
      <c r="G56" s="202">
        <v>7</v>
      </c>
      <c r="H56" s="198" t="str">
        <f t="shared" si="14"/>
        <v>HYXiPOWER  HYX All-In-One 25,18 (3 Fase)</v>
      </c>
      <c r="I56" s="12" t="s">
        <v>443</v>
      </c>
      <c r="J56" s="407" t="s">
        <v>468</v>
      </c>
      <c r="K56" s="198">
        <v>5.0350000000000001</v>
      </c>
      <c r="L56" s="12">
        <v>5</v>
      </c>
      <c r="M56" s="198">
        <f t="shared" si="5"/>
        <v>25.18</v>
      </c>
      <c r="N56" s="12" t="s">
        <v>118</v>
      </c>
      <c r="O56" s="401">
        <v>0.98</v>
      </c>
      <c r="P56" s="402">
        <v>10000</v>
      </c>
      <c r="Q56" s="402" t="s">
        <v>444</v>
      </c>
      <c r="R56" s="408">
        <v>0.7</v>
      </c>
      <c r="S56" s="402">
        <v>10</v>
      </c>
      <c r="T56" s="402">
        <v>13</v>
      </c>
      <c r="U56" s="403">
        <f>15999+500</f>
        <v>16499</v>
      </c>
      <c r="V56" s="403">
        <f t="shared" si="18"/>
        <v>13635.537190082645</v>
      </c>
      <c r="W56" s="403">
        <f t="shared" si="6"/>
        <v>14499</v>
      </c>
      <c r="X56" s="403">
        <v>2000</v>
      </c>
      <c r="Y56" s="403">
        <f t="shared" si="16"/>
        <v>13999</v>
      </c>
      <c r="Z56" s="403">
        <v>2500</v>
      </c>
      <c r="AA56" s="12" t="s">
        <v>449</v>
      </c>
      <c r="AB56" s="399">
        <f t="shared" si="7"/>
        <v>655.24225575853848</v>
      </c>
      <c r="AC56" s="400" t="s">
        <v>608</v>
      </c>
      <c r="AD56" s="400" t="s">
        <v>608</v>
      </c>
      <c r="AE56" s="400" t="s">
        <v>52</v>
      </c>
      <c r="AF56" s="400">
        <v>700</v>
      </c>
      <c r="AG56" s="400">
        <v>200</v>
      </c>
      <c r="AH56" s="400">
        <v>350</v>
      </c>
      <c r="AI56" s="400">
        <v>2370</v>
      </c>
      <c r="AJ56" s="400">
        <v>50</v>
      </c>
      <c r="AK56" s="400">
        <v>5</v>
      </c>
      <c r="AL56" s="400" t="s">
        <v>609</v>
      </c>
      <c r="AM56" s="400"/>
      <c r="AN56" s="400" t="s">
        <v>621</v>
      </c>
      <c r="AO56" s="425"/>
    </row>
    <row r="57" spans="6:42">
      <c r="H57" s="198"/>
      <c r="M57" s="198"/>
      <c r="O57" s="401"/>
      <c r="P57" s="402"/>
      <c r="Q57" s="402"/>
      <c r="R57" s="408"/>
      <c r="S57" s="402"/>
      <c r="T57" s="402"/>
      <c r="U57" s="403"/>
      <c r="V57" s="403"/>
      <c r="W57" s="403"/>
      <c r="X57" s="403"/>
      <c r="Y57" s="403"/>
      <c r="Z57" s="403"/>
    </row>
    <row r="58" spans="6:42">
      <c r="H58" s="198"/>
      <c r="M58" s="198"/>
      <c r="O58" s="401"/>
      <c r="P58" s="402"/>
      <c r="Q58" s="402"/>
      <c r="R58" s="408"/>
      <c r="S58" s="402"/>
      <c r="T58" s="402"/>
      <c r="U58" s="403"/>
      <c r="V58" s="403"/>
      <c r="W58" s="403"/>
      <c r="X58" s="403"/>
      <c r="Y58" s="403"/>
      <c r="Z58" s="403"/>
      <c r="AB58" s="409"/>
    </row>
  </sheetData>
  <autoFilter ref="H7:S7" xr:uid="{163FAE23-FC70-3347-BE8D-DCC549F57D69}"/>
  <phoneticPr fontId="17" type="noConversion"/>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91346-6E10-4E60-9D72-1A82D827D9EC}">
  <dimension ref="C1:T44"/>
  <sheetViews>
    <sheetView topLeftCell="A3" zoomScale="120" zoomScaleNormal="120" workbookViewId="0">
      <selection activeCell="J31" sqref="J31:J33"/>
    </sheetView>
  </sheetViews>
  <sheetFormatPr baseColWidth="10" defaultColWidth="8.83203125" defaultRowHeight="16"/>
  <cols>
    <col min="3" max="3" width="18" bestFit="1" customWidth="1"/>
    <col min="5" max="5" width="10.1640625" bestFit="1" customWidth="1"/>
    <col min="18" max="18" width="8.83203125" style="87"/>
  </cols>
  <sheetData>
    <row r="1" spans="3:10">
      <c r="C1" s="104" t="s">
        <v>345</v>
      </c>
    </row>
    <row r="2" spans="3:10">
      <c r="C2" s="128" t="s">
        <v>52</v>
      </c>
    </row>
    <row r="3" spans="3:10">
      <c r="C3" s="129" t="s">
        <v>67</v>
      </c>
    </row>
    <row r="4" spans="3:10">
      <c r="C4" s="129"/>
    </row>
    <row r="5" spans="3:10">
      <c r="D5" s="105" t="s">
        <v>63</v>
      </c>
    </row>
    <row r="6" spans="3:10">
      <c r="C6" s="104" t="s">
        <v>62</v>
      </c>
      <c r="D6" s="105"/>
    </row>
    <row r="7" spans="3:10">
      <c r="C7" s="106" t="s">
        <v>69</v>
      </c>
      <c r="D7" s="107">
        <v>0.15</v>
      </c>
    </row>
    <row r="8" spans="3:10">
      <c r="C8" s="106" t="s">
        <v>68</v>
      </c>
      <c r="D8" s="107">
        <v>0.2</v>
      </c>
    </row>
    <row r="9" spans="3:10">
      <c r="C9" s="106" t="s">
        <v>83</v>
      </c>
      <c r="D9" s="107">
        <v>0.25</v>
      </c>
    </row>
    <row r="10" spans="3:10">
      <c r="C10" s="106" t="s">
        <v>70</v>
      </c>
      <c r="D10" s="107">
        <v>0.3</v>
      </c>
    </row>
    <row r="11" spans="3:10">
      <c r="C11" s="106" t="s">
        <v>71</v>
      </c>
      <c r="D11" s="107">
        <v>0.4</v>
      </c>
    </row>
    <row r="12" spans="3:10">
      <c r="C12" s="106" t="s">
        <v>72</v>
      </c>
      <c r="D12" s="107">
        <v>0.4</v>
      </c>
    </row>
    <row r="13" spans="3:10">
      <c r="C13" s="106" t="s">
        <v>73</v>
      </c>
      <c r="D13" s="107">
        <v>0.5</v>
      </c>
    </row>
    <row r="16" spans="3:10">
      <c r="H16" s="180"/>
      <c r="I16" s="180" t="s">
        <v>161</v>
      </c>
      <c r="J16" s="180"/>
    </row>
    <row r="17" spans="3:20">
      <c r="C17" s="104" t="s">
        <v>344</v>
      </c>
      <c r="H17" s="180" t="s">
        <v>463</v>
      </c>
      <c r="I17" s="182" t="str">
        <f>IF(Calculator!P114&lt;&gt;"Alleen Zelfconsumptie","Ja","Nee")</f>
        <v>Ja</v>
      </c>
      <c r="J17" s="180"/>
    </row>
    <row r="18" spans="3:20">
      <c r="C18" s="106" t="s">
        <v>167</v>
      </c>
      <c r="H18" s="180" t="s">
        <v>464</v>
      </c>
      <c r="I18" s="182" t="str">
        <f>IF(Calculator!P116&lt;&gt;"Alleen Zelfconsumptie","Ja","Nee")</f>
        <v>Ja</v>
      </c>
      <c r="J18" s="180"/>
    </row>
    <row r="19" spans="3:20">
      <c r="C19" s="106" t="s">
        <v>168</v>
      </c>
      <c r="H19" s="180"/>
      <c r="I19" s="180"/>
      <c r="J19" s="180"/>
    </row>
    <row r="20" spans="3:20">
      <c r="C20" s="106" t="s">
        <v>169</v>
      </c>
      <c r="H20" s="180"/>
      <c r="I20" s="180"/>
      <c r="J20" s="180"/>
    </row>
    <row r="21" spans="3:20">
      <c r="H21" s="180"/>
      <c r="I21" s="180"/>
      <c r="J21" s="180"/>
    </row>
    <row r="23" spans="3:20">
      <c r="C23" s="104" t="s">
        <v>216</v>
      </c>
      <c r="D23" s="105" t="s">
        <v>349</v>
      </c>
      <c r="E23" s="105" t="s">
        <v>350</v>
      </c>
      <c r="F23" s="190" t="s">
        <v>493</v>
      </c>
    </row>
    <row r="24" spans="3:20">
      <c r="C24" s="106" t="s">
        <v>347</v>
      </c>
      <c r="D24" s="130">
        <v>0.02</v>
      </c>
      <c r="E24" s="130">
        <v>0</v>
      </c>
      <c r="F24">
        <v>0</v>
      </c>
    </row>
    <row r="25" spans="3:20">
      <c r="C25" s="106" t="s">
        <v>348</v>
      </c>
      <c r="D25" s="130">
        <v>3.4000000000000002E-2</v>
      </c>
      <c r="E25" s="130">
        <v>3.4000000000000002E-2</v>
      </c>
      <c r="F25">
        <v>0.04</v>
      </c>
    </row>
    <row r="26" spans="3:20">
      <c r="C26" s="106" t="s">
        <v>420</v>
      </c>
      <c r="D26" s="130">
        <v>0.02</v>
      </c>
      <c r="E26" s="130">
        <v>0</v>
      </c>
      <c r="F26">
        <v>0</v>
      </c>
    </row>
    <row r="27" spans="3:20">
      <c r="R27" s="413" t="str">
        <f>Calculator!P114</f>
        <v>Actief handelen</v>
      </c>
      <c r="T27" s="416" t="str">
        <f>Calculator!P116</f>
        <v>Actief handelen</v>
      </c>
    </row>
    <row r="28" spans="3:20">
      <c r="D28" s="104" t="s">
        <v>630</v>
      </c>
      <c r="E28" s="104" t="s">
        <v>630</v>
      </c>
      <c r="F28" s="104" t="s">
        <v>630</v>
      </c>
      <c r="G28" s="104" t="s">
        <v>630</v>
      </c>
      <c r="H28" s="104" t="s">
        <v>630</v>
      </c>
      <c r="I28" s="104" t="s">
        <v>630</v>
      </c>
      <c r="J28" s="104" t="s">
        <v>630</v>
      </c>
      <c r="K28" s="104" t="s">
        <v>630</v>
      </c>
      <c r="L28" s="104" t="s">
        <v>630</v>
      </c>
      <c r="M28" s="104" t="s">
        <v>630</v>
      </c>
      <c r="N28" s="104" t="s">
        <v>630</v>
      </c>
      <c r="O28" s="104" t="s">
        <v>630</v>
      </c>
      <c r="P28" s="104" t="s">
        <v>630</v>
      </c>
      <c r="R28" s="413" t="s">
        <v>630</v>
      </c>
      <c r="T28" s="413" t="s">
        <v>630</v>
      </c>
    </row>
    <row r="29" spans="3:20">
      <c r="D29" s="413">
        <v>5</v>
      </c>
      <c r="E29" s="413">
        <v>6</v>
      </c>
      <c r="F29" s="413">
        <v>8</v>
      </c>
      <c r="G29" s="413">
        <v>10</v>
      </c>
      <c r="H29" s="413">
        <v>11</v>
      </c>
      <c r="I29" s="413">
        <v>13</v>
      </c>
      <c r="J29" s="413">
        <v>20</v>
      </c>
      <c r="K29" s="413">
        <v>30</v>
      </c>
      <c r="L29" s="104">
        <v>40</v>
      </c>
      <c r="M29" s="104">
        <v>50</v>
      </c>
      <c r="N29" s="413">
        <v>60</v>
      </c>
      <c r="O29" s="413">
        <v>70</v>
      </c>
      <c r="P29" s="413">
        <v>80</v>
      </c>
      <c r="R29" s="87">
        <f>Calculator!R102</f>
        <v>10</v>
      </c>
      <c r="T29" s="87">
        <f>R29</f>
        <v>10</v>
      </c>
    </row>
    <row r="30" spans="3:20">
      <c r="C30" s="104" t="s">
        <v>80</v>
      </c>
      <c r="D30" s="414">
        <v>2</v>
      </c>
      <c r="E30" s="414">
        <f>D30+1</f>
        <v>3</v>
      </c>
      <c r="F30" s="414">
        <f t="shared" ref="F30:P30" si="0">E30+1</f>
        <v>4</v>
      </c>
      <c r="G30" s="414">
        <f t="shared" si="0"/>
        <v>5</v>
      </c>
      <c r="H30" s="414">
        <f t="shared" si="0"/>
        <v>6</v>
      </c>
      <c r="I30" s="414">
        <f t="shared" si="0"/>
        <v>7</v>
      </c>
      <c r="J30" s="414">
        <f t="shared" si="0"/>
        <v>8</v>
      </c>
      <c r="K30" s="414">
        <f t="shared" si="0"/>
        <v>9</v>
      </c>
      <c r="L30" s="414">
        <f t="shared" si="0"/>
        <v>10</v>
      </c>
      <c r="M30" s="414">
        <f t="shared" si="0"/>
        <v>11</v>
      </c>
      <c r="N30" s="414">
        <f t="shared" si="0"/>
        <v>12</v>
      </c>
      <c r="O30" s="414">
        <f t="shared" si="0"/>
        <v>13</v>
      </c>
      <c r="P30" s="414">
        <f t="shared" si="0"/>
        <v>14</v>
      </c>
      <c r="R30" s="414">
        <f>HLOOKUP(R29,D29:P30,2,FALSE)</f>
        <v>5</v>
      </c>
      <c r="T30" s="414">
        <f>HLOOKUP(T29,D29:P30,2,FALSE)</f>
        <v>5</v>
      </c>
    </row>
    <row r="31" spans="3:20">
      <c r="C31" s="128" t="s">
        <v>423</v>
      </c>
      <c r="D31" s="131">
        <v>1</v>
      </c>
      <c r="E31" s="131">
        <v>1</v>
      </c>
      <c r="F31" s="131">
        <v>1</v>
      </c>
      <c r="G31" s="131">
        <v>1</v>
      </c>
      <c r="H31" s="131">
        <v>1</v>
      </c>
      <c r="I31" s="131">
        <v>1</v>
      </c>
      <c r="J31" s="429">
        <f>I31+0.2</f>
        <v>1.2</v>
      </c>
      <c r="K31" s="429">
        <f>J31+0.05</f>
        <v>1.25</v>
      </c>
      <c r="L31" s="131">
        <v>1</v>
      </c>
      <c r="M31" s="429">
        <f>K31+0.1</f>
        <v>1.35</v>
      </c>
      <c r="N31" s="131">
        <v>1</v>
      </c>
      <c r="O31" s="131">
        <v>1</v>
      </c>
      <c r="P31" s="131">
        <v>1</v>
      </c>
      <c r="R31" s="415">
        <f>VLOOKUP(R27,C31:P33,R30,FALSE)</f>
        <v>1.5</v>
      </c>
      <c r="T31" s="415">
        <f>VLOOKUP(T27,C31:P33,T30,FALSE)</f>
        <v>1.5</v>
      </c>
    </row>
    <row r="32" spans="3:20">
      <c r="C32" s="128" t="s">
        <v>424</v>
      </c>
      <c r="D32" s="131">
        <v>1.25</v>
      </c>
      <c r="E32" s="131">
        <v>1.25</v>
      </c>
      <c r="F32" s="131">
        <v>1.25</v>
      </c>
      <c r="G32" s="131">
        <v>1.25</v>
      </c>
      <c r="H32" s="131">
        <v>1.25</v>
      </c>
      <c r="I32" s="131">
        <v>1.25</v>
      </c>
      <c r="J32" s="429">
        <f t="shared" ref="J32:J33" si="1">I32+0.2</f>
        <v>1.45</v>
      </c>
      <c r="K32" s="429">
        <f t="shared" ref="K32:K33" si="2">J32+0.05</f>
        <v>1.5</v>
      </c>
      <c r="L32" s="131">
        <v>1.25</v>
      </c>
      <c r="M32" s="429">
        <f t="shared" ref="M32:M33" si="3">K32+0.1</f>
        <v>1.6</v>
      </c>
      <c r="N32" s="131">
        <v>1.25</v>
      </c>
      <c r="O32" s="131">
        <v>1.25</v>
      </c>
      <c r="P32" s="131">
        <v>1.25</v>
      </c>
    </row>
    <row r="33" spans="3:16">
      <c r="C33" s="128" t="s">
        <v>425</v>
      </c>
      <c r="D33" s="131">
        <v>1.5</v>
      </c>
      <c r="E33" s="131">
        <v>1.5</v>
      </c>
      <c r="F33" s="131">
        <v>1.5</v>
      </c>
      <c r="G33" s="131">
        <v>1.5</v>
      </c>
      <c r="H33" s="131">
        <v>1.5</v>
      </c>
      <c r="I33" s="131">
        <v>1.5</v>
      </c>
      <c r="J33" s="429">
        <f t="shared" si="1"/>
        <v>1.7</v>
      </c>
      <c r="K33" s="429">
        <f t="shared" si="2"/>
        <v>1.75</v>
      </c>
      <c r="L33" s="131">
        <v>1.5</v>
      </c>
      <c r="M33" s="429">
        <f t="shared" si="3"/>
        <v>1.85</v>
      </c>
      <c r="N33" s="131">
        <v>1.5</v>
      </c>
      <c r="O33" s="131">
        <v>1.5</v>
      </c>
      <c r="P33" s="131">
        <v>1.5</v>
      </c>
    </row>
    <row r="36" spans="3:16">
      <c r="C36" s="104" t="s">
        <v>304</v>
      </c>
    </row>
    <row r="37" spans="3:16">
      <c r="C37" s="128" t="s">
        <v>426</v>
      </c>
    </row>
    <row r="38" spans="3:16">
      <c r="C38" s="128" t="s">
        <v>427</v>
      </c>
    </row>
    <row r="39" spans="3:16">
      <c r="C39" s="128" t="s">
        <v>422</v>
      </c>
    </row>
    <row r="40" spans="3:16">
      <c r="C40" s="128" t="s">
        <v>67</v>
      </c>
    </row>
    <row r="42" spans="3:16">
      <c r="C42" s="172" t="s">
        <v>430</v>
      </c>
    </row>
    <row r="43" spans="3:16">
      <c r="C43" s="128" t="s">
        <v>432</v>
      </c>
    </row>
    <row r="44" spans="3:16">
      <c r="C44" s="172" t="s">
        <v>433</v>
      </c>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6A931-F30B-4828-BBC5-9CB847EFDB38}">
  <sheetPr>
    <pageSetUpPr fitToPage="1"/>
  </sheetPr>
  <dimension ref="A1:AE58"/>
  <sheetViews>
    <sheetView workbookViewId="0">
      <selection activeCell="O51" sqref="O51"/>
    </sheetView>
  </sheetViews>
  <sheetFormatPr baseColWidth="10" defaultColWidth="9" defaultRowHeight="15"/>
  <cols>
    <col min="1" max="1" width="9" style="60"/>
    <col min="2" max="2" width="4.5" style="48" customWidth="1"/>
    <col min="3" max="3" width="9" style="60"/>
    <col min="4" max="4" width="10.6640625" style="45" bestFit="1" customWidth="1"/>
    <col min="5" max="5" width="9" style="60"/>
    <col min="6" max="6" width="10.33203125" style="60" bestFit="1" customWidth="1"/>
    <col min="7" max="7" width="4.5" style="48" customWidth="1"/>
    <col min="8" max="8" width="9" style="61"/>
    <col min="9" max="9" width="4.5" style="48" customWidth="1"/>
    <col min="10" max="10" width="9" style="44"/>
    <col min="11" max="11" width="9" style="45"/>
    <col min="12" max="12" width="9" style="46"/>
    <col min="13" max="14" width="9" style="61"/>
    <col min="15" max="15" width="4.5" style="48" customWidth="1"/>
    <col min="16" max="16" width="8.6640625" style="68" customWidth="1"/>
    <col min="17" max="17" width="8.6640625" style="44" customWidth="1"/>
    <col min="18" max="18" width="4.5" style="48" customWidth="1"/>
    <col min="19" max="20" width="9" style="49"/>
    <col min="21" max="22" width="4.5" style="48" customWidth="1"/>
    <col min="23" max="23" width="9" style="65"/>
    <col min="24" max="24" width="4.5" style="48" customWidth="1"/>
    <col min="25" max="25" width="9" style="65"/>
    <col min="26" max="26" width="4.5" style="48" customWidth="1"/>
    <col min="27" max="27" width="10.1640625" style="65" bestFit="1" customWidth="1"/>
    <col min="28" max="28" width="4.5" style="48" customWidth="1"/>
    <col min="29" max="29" width="9" style="68"/>
    <col min="30" max="30" width="4.5" style="48" customWidth="1"/>
    <col min="31" max="31" width="9" style="61"/>
    <col min="32" max="16384" width="9" style="48"/>
  </cols>
  <sheetData>
    <row r="1" spans="1:31" s="71" customFormat="1">
      <c r="A1" s="60">
        <v>1</v>
      </c>
      <c r="B1" s="60">
        <f>A1+1</f>
        <v>2</v>
      </c>
      <c r="C1" s="60">
        <f t="shared" ref="C1:F1" si="0">B1+1</f>
        <v>3</v>
      </c>
      <c r="D1" s="60">
        <f t="shared" si="0"/>
        <v>4</v>
      </c>
      <c r="E1" s="60">
        <f t="shared" si="0"/>
        <v>5</v>
      </c>
      <c r="F1" s="60">
        <f t="shared" si="0"/>
        <v>6</v>
      </c>
      <c r="G1" s="60">
        <f t="shared" ref="G1" si="1">F1+1</f>
        <v>7</v>
      </c>
      <c r="H1" s="60">
        <f t="shared" ref="H1" si="2">G1+1</f>
        <v>8</v>
      </c>
      <c r="I1" s="60">
        <f t="shared" ref="I1" si="3">H1+1</f>
        <v>9</v>
      </c>
      <c r="J1" s="60">
        <f t="shared" ref="J1" si="4">I1+1</f>
        <v>10</v>
      </c>
      <c r="K1" s="60">
        <f t="shared" ref="K1" si="5">J1+1</f>
        <v>11</v>
      </c>
      <c r="L1" s="60">
        <f t="shared" ref="L1" si="6">K1+1</f>
        <v>12</v>
      </c>
      <c r="M1" s="60">
        <f t="shared" ref="M1" si="7">L1+1</f>
        <v>13</v>
      </c>
      <c r="N1" s="60">
        <f t="shared" ref="N1" si="8">M1+1</f>
        <v>14</v>
      </c>
      <c r="O1" s="60">
        <f t="shared" ref="O1" si="9">N1+1</f>
        <v>15</v>
      </c>
      <c r="P1" s="60">
        <f t="shared" ref="P1" si="10">O1+1</f>
        <v>16</v>
      </c>
      <c r="Q1" s="60">
        <f t="shared" ref="Q1" si="11">P1+1</f>
        <v>17</v>
      </c>
      <c r="R1" s="60">
        <f t="shared" ref="R1" si="12">Q1+1</f>
        <v>18</v>
      </c>
      <c r="S1" s="60">
        <f t="shared" ref="S1" si="13">R1+1</f>
        <v>19</v>
      </c>
      <c r="T1" s="60">
        <f>S1+1</f>
        <v>20</v>
      </c>
      <c r="U1" s="60">
        <f>T1+1</f>
        <v>21</v>
      </c>
      <c r="V1" s="60">
        <f>U1+1</f>
        <v>22</v>
      </c>
      <c r="W1" s="60">
        <f>V1+1</f>
        <v>23</v>
      </c>
      <c r="X1" s="60">
        <f t="shared" ref="X1" si="14">W1+1</f>
        <v>24</v>
      </c>
      <c r="Y1" s="60">
        <f t="shared" ref="Y1" si="15">X1+1</f>
        <v>25</v>
      </c>
      <c r="Z1" s="60">
        <f t="shared" ref="Z1" si="16">Y1+1</f>
        <v>26</v>
      </c>
      <c r="AA1" s="60">
        <f t="shared" ref="AA1" si="17">Z1+1</f>
        <v>27</v>
      </c>
      <c r="AB1" s="60">
        <f t="shared" ref="AB1" si="18">AA1+1</f>
        <v>28</v>
      </c>
      <c r="AC1" s="60">
        <f t="shared" ref="AC1" si="19">AB1+1</f>
        <v>29</v>
      </c>
      <c r="AD1" s="60">
        <f t="shared" ref="AD1" si="20">AC1+1</f>
        <v>30</v>
      </c>
      <c r="AE1" s="60">
        <f t="shared" ref="AE1" si="21">AD1+1</f>
        <v>31</v>
      </c>
    </row>
    <row r="2" spans="1:31">
      <c r="A2" s="43" t="s">
        <v>266</v>
      </c>
      <c r="C2" s="101"/>
      <c r="D2" s="100" t="s">
        <v>326</v>
      </c>
      <c r="E2" s="50"/>
      <c r="F2" s="102"/>
      <c r="G2" s="100" t="s">
        <v>327</v>
      </c>
      <c r="H2" s="44"/>
      <c r="I2" s="45"/>
      <c r="J2" s="103"/>
      <c r="K2" s="100" t="s">
        <v>328</v>
      </c>
      <c r="N2" s="47"/>
      <c r="P2" s="48"/>
      <c r="Q2" s="223" t="s">
        <v>550</v>
      </c>
      <c r="R2" s="54">
        <v>2026</v>
      </c>
      <c r="AE2" s="47"/>
    </row>
    <row r="3" spans="1:31">
      <c r="A3" s="43"/>
      <c r="C3" s="220"/>
      <c r="D3" s="100"/>
      <c r="E3" s="50"/>
      <c r="F3" s="221"/>
      <c r="G3" s="100"/>
      <c r="H3" s="44"/>
      <c r="I3" s="45"/>
      <c r="J3" s="222"/>
      <c r="K3" s="100"/>
      <c r="N3" s="47"/>
      <c r="P3" s="219"/>
      <c r="AE3" s="47"/>
    </row>
    <row r="4" spans="1:31" s="54" customFormat="1">
      <c r="A4" s="50"/>
      <c r="C4" s="50"/>
      <c r="D4" s="52"/>
      <c r="E4" s="50"/>
      <c r="F4" s="50"/>
      <c r="H4" s="47"/>
      <c r="J4" s="51"/>
      <c r="K4" s="52"/>
      <c r="L4" s="53"/>
      <c r="M4" s="47"/>
      <c r="N4" s="47"/>
      <c r="P4" s="69"/>
      <c r="Q4" s="69"/>
      <c r="S4" s="55" t="s">
        <v>547</v>
      </c>
      <c r="T4" s="55" t="s">
        <v>547</v>
      </c>
      <c r="W4" s="66"/>
      <c r="Y4" s="67" t="s">
        <v>272</v>
      </c>
      <c r="AA4" s="66"/>
      <c r="AC4" s="68"/>
      <c r="AE4" s="47"/>
    </row>
    <row r="5" spans="1:31" s="57" customFormat="1">
      <c r="A5" s="56"/>
      <c r="C5" s="50"/>
      <c r="D5" s="52" t="s">
        <v>303</v>
      </c>
      <c r="E5" s="50" t="s">
        <v>306</v>
      </c>
      <c r="F5" s="50" t="s">
        <v>306</v>
      </c>
      <c r="H5" s="47"/>
      <c r="J5" s="51" t="s">
        <v>268</v>
      </c>
      <c r="K5" s="52"/>
      <c r="L5" s="51" t="s">
        <v>268</v>
      </c>
      <c r="M5" s="47"/>
      <c r="N5" s="47"/>
      <c r="P5" s="69" t="s">
        <v>283</v>
      </c>
      <c r="Q5" s="69" t="s">
        <v>283</v>
      </c>
      <c r="S5" s="58" t="s">
        <v>285</v>
      </c>
      <c r="T5" s="58" t="s">
        <v>285</v>
      </c>
      <c r="W5" s="67" t="s">
        <v>288</v>
      </c>
      <c r="Y5" s="53" t="s">
        <v>297</v>
      </c>
      <c r="AA5" s="67" t="s">
        <v>293</v>
      </c>
      <c r="AC5" s="70" t="s">
        <v>272</v>
      </c>
      <c r="AE5" s="47" t="s">
        <v>298</v>
      </c>
    </row>
    <row r="6" spans="1:31" s="57" customFormat="1">
      <c r="A6" s="56"/>
      <c r="C6" s="50" t="s">
        <v>301</v>
      </c>
      <c r="D6" s="52" t="s">
        <v>304</v>
      </c>
      <c r="E6" s="50" t="s">
        <v>304</v>
      </c>
      <c r="F6" s="50" t="s">
        <v>304</v>
      </c>
      <c r="H6" s="47" t="s">
        <v>279</v>
      </c>
      <c r="J6" s="51" t="s">
        <v>270</v>
      </c>
      <c r="K6" s="52" t="s">
        <v>271</v>
      </c>
      <c r="L6" s="51" t="s">
        <v>270</v>
      </c>
      <c r="M6" s="47" t="s">
        <v>279</v>
      </c>
      <c r="N6" s="47" t="s">
        <v>292</v>
      </c>
      <c r="P6" s="69" t="s">
        <v>282</v>
      </c>
      <c r="Q6" s="69" t="s">
        <v>284</v>
      </c>
      <c r="S6" s="55" t="s">
        <v>276</v>
      </c>
      <c r="T6" s="55" t="s">
        <v>276</v>
      </c>
      <c r="W6" s="66" t="s">
        <v>289</v>
      </c>
      <c r="Y6" s="66" t="s">
        <v>290</v>
      </c>
      <c r="AA6" s="66" t="s">
        <v>294</v>
      </c>
      <c r="AC6" s="69" t="s">
        <v>297</v>
      </c>
      <c r="AE6" s="47" t="s">
        <v>299</v>
      </c>
    </row>
    <row r="7" spans="1:31" s="57" customFormat="1">
      <c r="A7" s="50" t="s">
        <v>35</v>
      </c>
      <c r="C7" s="50" t="s">
        <v>302</v>
      </c>
      <c r="D7" s="52" t="s">
        <v>305</v>
      </c>
      <c r="E7" s="50" t="s">
        <v>57</v>
      </c>
      <c r="F7" s="89" t="s">
        <v>339</v>
      </c>
      <c r="H7" s="47" t="s">
        <v>269</v>
      </c>
      <c r="J7" s="59" t="s">
        <v>273</v>
      </c>
      <c r="K7" s="52" t="s">
        <v>274</v>
      </c>
      <c r="L7" s="59" t="s">
        <v>273</v>
      </c>
      <c r="M7" s="47" t="s">
        <v>280</v>
      </c>
      <c r="N7" s="47" t="s">
        <v>275</v>
      </c>
      <c r="P7" s="70" t="s">
        <v>281</v>
      </c>
      <c r="Q7" s="70" t="s">
        <v>281</v>
      </c>
      <c r="S7" s="55" t="s">
        <v>286</v>
      </c>
      <c r="T7" s="55" t="s">
        <v>287</v>
      </c>
      <c r="W7" s="66" t="s">
        <v>284</v>
      </c>
      <c r="Y7" s="66" t="s">
        <v>291</v>
      </c>
      <c r="AA7" s="66" t="s">
        <v>295</v>
      </c>
      <c r="AC7" s="70" t="s">
        <v>296</v>
      </c>
      <c r="AE7" s="53" t="s">
        <v>300</v>
      </c>
    </row>
    <row r="8" spans="1:31">
      <c r="A8" s="81">
        <v>2025</v>
      </c>
      <c r="C8" s="137">
        <v>0.21</v>
      </c>
      <c r="D8" s="138">
        <v>2494</v>
      </c>
      <c r="E8" s="138">
        <v>15</v>
      </c>
      <c r="F8" s="138">
        <v>20</v>
      </c>
      <c r="G8" s="139"/>
      <c r="H8" s="137">
        <v>3.2000000000000001E-2</v>
      </c>
      <c r="I8" s="139"/>
      <c r="J8" s="140">
        <v>0.12286</v>
      </c>
      <c r="K8" s="138">
        <v>10000</v>
      </c>
      <c r="L8" s="140">
        <v>8.3940000000000001E-2</v>
      </c>
      <c r="M8" s="137">
        <v>0</v>
      </c>
      <c r="N8" s="137">
        <v>1</v>
      </c>
      <c r="O8" s="139"/>
      <c r="P8" s="141">
        <v>5.99</v>
      </c>
      <c r="Q8" s="141">
        <v>5.99</v>
      </c>
      <c r="R8" s="139"/>
      <c r="S8" s="142">
        <v>0.01</v>
      </c>
      <c r="T8" s="142">
        <v>0.15</v>
      </c>
      <c r="U8" s="139"/>
      <c r="V8" s="139"/>
      <c r="W8" s="141">
        <v>3.5</v>
      </c>
      <c r="X8" s="139"/>
      <c r="Y8" s="142">
        <v>-0.02</v>
      </c>
      <c r="Z8" s="139"/>
      <c r="AA8" s="143">
        <v>14</v>
      </c>
      <c r="AB8" s="139"/>
      <c r="AC8" s="195">
        <f>IF(Calculator!R112&lt;&gt;"Next Energy",0.2,0.24)</f>
        <v>0.2</v>
      </c>
      <c r="AD8" s="139"/>
      <c r="AE8" s="137">
        <v>0.85</v>
      </c>
    </row>
    <row r="9" spans="1:31">
      <c r="A9" s="81">
        <f>A8+1</f>
        <v>2026</v>
      </c>
      <c r="C9" s="144">
        <f>C8</f>
        <v>0.21</v>
      </c>
      <c r="D9" s="145">
        <f>D8</f>
        <v>2494</v>
      </c>
      <c r="E9" s="145">
        <f>E8</f>
        <v>15</v>
      </c>
      <c r="F9" s="145">
        <f>F8</f>
        <v>20</v>
      </c>
      <c r="G9" s="139"/>
      <c r="H9" s="144">
        <v>2.8000000000000001E-2</v>
      </c>
      <c r="I9" s="139"/>
      <c r="J9" s="146">
        <v>0.11046</v>
      </c>
      <c r="K9" s="145">
        <f>K8</f>
        <v>10000</v>
      </c>
      <c r="L9" s="146">
        <f>L8*(1+M8)</f>
        <v>8.3940000000000001E-2</v>
      </c>
      <c r="M9" s="144">
        <v>0</v>
      </c>
      <c r="N9" s="144">
        <v>1</v>
      </c>
      <c r="O9" s="139"/>
      <c r="P9" s="147">
        <f t="shared" ref="P9" si="22">P8*(1+H8)</f>
        <v>6.1816800000000001</v>
      </c>
      <c r="Q9" s="147">
        <f t="shared" ref="Q9" si="23">Q8*(1+H8)</f>
        <v>6.1816800000000001</v>
      </c>
      <c r="R9" s="139"/>
      <c r="S9" s="148">
        <f>S8*(1+H8)</f>
        <v>1.0320000000000001E-2</v>
      </c>
      <c r="T9" s="148">
        <f t="shared" ref="T9:T36" si="24">T8*(1+H8)</f>
        <v>0.15479999999999999</v>
      </c>
      <c r="U9" s="139"/>
      <c r="V9" s="139"/>
      <c r="W9" s="149">
        <f>W8</f>
        <v>3.5</v>
      </c>
      <c r="X9" s="139"/>
      <c r="Y9" s="150">
        <f>Y8</f>
        <v>-0.02</v>
      </c>
      <c r="Z9" s="139"/>
      <c r="AA9" s="151">
        <f>AA8</f>
        <v>14</v>
      </c>
      <c r="AB9" s="139"/>
      <c r="AC9" s="150">
        <f>AC8</f>
        <v>0.2</v>
      </c>
      <c r="AD9" s="139"/>
      <c r="AE9" s="144">
        <f>AE8</f>
        <v>0.85</v>
      </c>
    </row>
    <row r="10" spans="1:31">
      <c r="A10" s="81">
        <f t="shared" ref="A10:A36" si="25">A9+1</f>
        <v>2027</v>
      </c>
      <c r="C10" s="144">
        <f t="shared" ref="C10:C36" si="26">C9</f>
        <v>0.21</v>
      </c>
      <c r="D10" s="145">
        <f t="shared" ref="D10:E36" si="27">D9</f>
        <v>2494</v>
      </c>
      <c r="E10" s="145">
        <f t="shared" si="27"/>
        <v>15</v>
      </c>
      <c r="F10" s="145">
        <f t="shared" ref="F10" si="28">F9</f>
        <v>20</v>
      </c>
      <c r="G10" s="139"/>
      <c r="H10" s="144">
        <v>2.5000000000000001E-2</v>
      </c>
      <c r="I10" s="139"/>
      <c r="J10" s="146">
        <f t="shared" ref="J10:J36" si="29">J9*(1+M9)</f>
        <v>0.11046</v>
      </c>
      <c r="K10" s="145">
        <f t="shared" ref="K10:K36" si="30">K9</f>
        <v>10000</v>
      </c>
      <c r="L10" s="146">
        <f t="shared" ref="L10:L36" si="31">L9*(1+M9)</f>
        <v>8.3940000000000001E-2</v>
      </c>
      <c r="M10" s="144">
        <v>0</v>
      </c>
      <c r="N10" s="144">
        <v>0</v>
      </c>
      <c r="O10" s="139"/>
      <c r="P10" s="147">
        <f t="shared" ref="P10:P36" si="32">P9*(1+H9)</f>
        <v>6.3547670400000005</v>
      </c>
      <c r="Q10" s="147">
        <f t="shared" ref="Q10:Q36" si="33">Q9*(1+H9)</f>
        <v>6.3547670400000005</v>
      </c>
      <c r="R10" s="139"/>
      <c r="S10" s="148">
        <f t="shared" ref="S10:S36" si="34">S9*(1+H9)</f>
        <v>1.0608960000000001E-2</v>
      </c>
      <c r="T10" s="148">
        <f t="shared" si="24"/>
        <v>0.15913440000000001</v>
      </c>
      <c r="U10" s="139"/>
      <c r="V10" s="139"/>
      <c r="W10" s="149">
        <f t="shared" ref="W10:W36" si="35">W9</f>
        <v>3.5</v>
      </c>
      <c r="X10" s="139"/>
      <c r="Y10" s="150">
        <f t="shared" ref="Y10:Y36" si="36">Y9</f>
        <v>-0.02</v>
      </c>
      <c r="Z10" s="139"/>
      <c r="AA10" s="151">
        <f t="shared" ref="AA10:AA36" si="37">AA9</f>
        <v>14</v>
      </c>
      <c r="AB10" s="139"/>
      <c r="AC10" s="150">
        <f t="shared" ref="AC10:AC36" si="38">AC9</f>
        <v>0.2</v>
      </c>
      <c r="AD10" s="139"/>
      <c r="AE10" s="144">
        <f t="shared" ref="AE10:AE25" si="39">AE9</f>
        <v>0.85</v>
      </c>
    </row>
    <row r="11" spans="1:31">
      <c r="A11" s="81">
        <f t="shared" si="25"/>
        <v>2028</v>
      </c>
      <c r="C11" s="144">
        <f t="shared" si="26"/>
        <v>0.21</v>
      </c>
      <c r="D11" s="145">
        <f t="shared" si="27"/>
        <v>2494</v>
      </c>
      <c r="E11" s="145">
        <f t="shared" si="27"/>
        <v>15</v>
      </c>
      <c r="F11" s="145">
        <f t="shared" ref="F11" si="40">F10</f>
        <v>20</v>
      </c>
      <c r="G11" s="139"/>
      <c r="H11" s="144">
        <f t="shared" ref="H11:H36" si="41">H10</f>
        <v>2.5000000000000001E-2</v>
      </c>
      <c r="I11" s="139"/>
      <c r="J11" s="146">
        <f t="shared" si="29"/>
        <v>0.11046</v>
      </c>
      <c r="K11" s="145">
        <f t="shared" si="30"/>
        <v>10000</v>
      </c>
      <c r="L11" s="146">
        <f t="shared" si="31"/>
        <v>8.3940000000000001E-2</v>
      </c>
      <c r="M11" s="144">
        <f t="shared" ref="M11:N36" si="42">M10</f>
        <v>0</v>
      </c>
      <c r="N11" s="144">
        <f>N10</f>
        <v>0</v>
      </c>
      <c r="O11" s="139"/>
      <c r="P11" s="147">
        <f t="shared" si="32"/>
        <v>6.5136362160000001</v>
      </c>
      <c r="Q11" s="147">
        <f t="shared" si="33"/>
        <v>6.5136362160000001</v>
      </c>
      <c r="R11" s="139"/>
      <c r="S11" s="148">
        <f t="shared" si="34"/>
        <v>1.0874184E-2</v>
      </c>
      <c r="T11" s="148">
        <f t="shared" si="24"/>
        <v>0.16311276</v>
      </c>
      <c r="U11" s="139"/>
      <c r="V11" s="139"/>
      <c r="W11" s="149">
        <f t="shared" si="35"/>
        <v>3.5</v>
      </c>
      <c r="X11" s="139"/>
      <c r="Y11" s="150">
        <f t="shared" si="36"/>
        <v>-0.02</v>
      </c>
      <c r="Z11" s="139"/>
      <c r="AA11" s="151">
        <f t="shared" si="37"/>
        <v>14</v>
      </c>
      <c r="AB11" s="139"/>
      <c r="AC11" s="150">
        <f t="shared" si="38"/>
        <v>0.2</v>
      </c>
      <c r="AD11" s="139"/>
      <c r="AE11" s="144">
        <f t="shared" si="39"/>
        <v>0.85</v>
      </c>
    </row>
    <row r="12" spans="1:31">
      <c r="A12" s="81">
        <f t="shared" si="25"/>
        <v>2029</v>
      </c>
      <c r="C12" s="144">
        <f t="shared" si="26"/>
        <v>0.21</v>
      </c>
      <c r="D12" s="145">
        <f t="shared" si="27"/>
        <v>2494</v>
      </c>
      <c r="E12" s="145">
        <f t="shared" si="27"/>
        <v>15</v>
      </c>
      <c r="F12" s="145">
        <f t="shared" ref="F12" si="43">F11</f>
        <v>20</v>
      </c>
      <c r="G12" s="139"/>
      <c r="H12" s="144">
        <f t="shared" si="41"/>
        <v>2.5000000000000001E-2</v>
      </c>
      <c r="I12" s="139"/>
      <c r="J12" s="146">
        <f t="shared" si="29"/>
        <v>0.11046</v>
      </c>
      <c r="K12" s="145">
        <f t="shared" si="30"/>
        <v>10000</v>
      </c>
      <c r="L12" s="146">
        <f t="shared" si="31"/>
        <v>8.3940000000000001E-2</v>
      </c>
      <c r="M12" s="144">
        <f t="shared" si="42"/>
        <v>0</v>
      </c>
      <c r="N12" s="144">
        <f t="shared" si="42"/>
        <v>0</v>
      </c>
      <c r="O12" s="139"/>
      <c r="P12" s="147">
        <f t="shared" si="32"/>
        <v>6.6764771213999996</v>
      </c>
      <c r="Q12" s="147">
        <f t="shared" si="33"/>
        <v>6.6764771213999996</v>
      </c>
      <c r="R12" s="139"/>
      <c r="S12" s="148">
        <f t="shared" si="34"/>
        <v>1.11460386E-2</v>
      </c>
      <c r="T12" s="148">
        <f t="shared" si="24"/>
        <v>0.16719057899999998</v>
      </c>
      <c r="U12" s="139"/>
      <c r="V12" s="139"/>
      <c r="W12" s="149">
        <f t="shared" si="35"/>
        <v>3.5</v>
      </c>
      <c r="X12" s="139"/>
      <c r="Y12" s="150">
        <f t="shared" si="36"/>
        <v>-0.02</v>
      </c>
      <c r="Z12" s="139"/>
      <c r="AA12" s="151">
        <f t="shared" si="37"/>
        <v>14</v>
      </c>
      <c r="AB12" s="139"/>
      <c r="AC12" s="150">
        <f t="shared" si="38"/>
        <v>0.2</v>
      </c>
      <c r="AD12" s="139"/>
      <c r="AE12" s="144">
        <f t="shared" si="39"/>
        <v>0.85</v>
      </c>
    </row>
    <row r="13" spans="1:31">
      <c r="A13" s="81">
        <f t="shared" si="25"/>
        <v>2030</v>
      </c>
      <c r="C13" s="144">
        <f t="shared" si="26"/>
        <v>0.21</v>
      </c>
      <c r="D13" s="145">
        <f t="shared" si="27"/>
        <v>2494</v>
      </c>
      <c r="E13" s="145">
        <f t="shared" si="27"/>
        <v>15</v>
      </c>
      <c r="F13" s="145">
        <f t="shared" ref="F13" si="44">F12</f>
        <v>20</v>
      </c>
      <c r="G13" s="139"/>
      <c r="H13" s="144">
        <f t="shared" si="41"/>
        <v>2.5000000000000001E-2</v>
      </c>
      <c r="I13" s="139"/>
      <c r="J13" s="146">
        <f t="shared" si="29"/>
        <v>0.11046</v>
      </c>
      <c r="K13" s="145">
        <f t="shared" si="30"/>
        <v>10000</v>
      </c>
      <c r="L13" s="146">
        <f t="shared" si="31"/>
        <v>8.3940000000000001E-2</v>
      </c>
      <c r="M13" s="144">
        <f t="shared" si="42"/>
        <v>0</v>
      </c>
      <c r="N13" s="144">
        <f t="shared" si="42"/>
        <v>0</v>
      </c>
      <c r="O13" s="139"/>
      <c r="P13" s="147">
        <f t="shared" si="32"/>
        <v>6.8433890494349994</v>
      </c>
      <c r="Q13" s="147">
        <f t="shared" si="33"/>
        <v>6.8433890494349994</v>
      </c>
      <c r="R13" s="139"/>
      <c r="S13" s="148">
        <f t="shared" si="34"/>
        <v>1.1424689564999998E-2</v>
      </c>
      <c r="T13" s="148">
        <f t="shared" si="24"/>
        <v>0.17137034347499996</v>
      </c>
      <c r="U13" s="139"/>
      <c r="V13" s="139"/>
      <c r="W13" s="149">
        <f t="shared" si="35"/>
        <v>3.5</v>
      </c>
      <c r="X13" s="139"/>
      <c r="Y13" s="150">
        <f t="shared" si="36"/>
        <v>-0.02</v>
      </c>
      <c r="Z13" s="139"/>
      <c r="AA13" s="151">
        <f t="shared" si="37"/>
        <v>14</v>
      </c>
      <c r="AB13" s="139"/>
      <c r="AC13" s="150">
        <f t="shared" si="38"/>
        <v>0.2</v>
      </c>
      <c r="AD13" s="139"/>
      <c r="AE13" s="144">
        <f t="shared" si="39"/>
        <v>0.85</v>
      </c>
    </row>
    <row r="14" spans="1:31">
      <c r="A14" s="81">
        <f t="shared" si="25"/>
        <v>2031</v>
      </c>
      <c r="C14" s="144">
        <f t="shared" si="26"/>
        <v>0.21</v>
      </c>
      <c r="D14" s="145">
        <f t="shared" si="27"/>
        <v>2494</v>
      </c>
      <c r="E14" s="145">
        <f t="shared" si="27"/>
        <v>15</v>
      </c>
      <c r="F14" s="145">
        <f t="shared" ref="F14" si="45">F13</f>
        <v>20</v>
      </c>
      <c r="G14" s="139"/>
      <c r="H14" s="144">
        <f t="shared" si="41"/>
        <v>2.5000000000000001E-2</v>
      </c>
      <c r="I14" s="139"/>
      <c r="J14" s="146">
        <f t="shared" si="29"/>
        <v>0.11046</v>
      </c>
      <c r="K14" s="145">
        <f t="shared" si="30"/>
        <v>10000</v>
      </c>
      <c r="L14" s="146">
        <f t="shared" si="31"/>
        <v>8.3940000000000001E-2</v>
      </c>
      <c r="M14" s="144">
        <f t="shared" si="42"/>
        <v>0</v>
      </c>
      <c r="N14" s="144">
        <f t="shared" si="42"/>
        <v>0</v>
      </c>
      <c r="O14" s="139"/>
      <c r="P14" s="147">
        <f t="shared" si="32"/>
        <v>7.0144737756708739</v>
      </c>
      <c r="Q14" s="147">
        <f t="shared" si="33"/>
        <v>7.0144737756708739</v>
      </c>
      <c r="R14" s="139"/>
      <c r="S14" s="148">
        <f t="shared" si="34"/>
        <v>1.1710306804124998E-2</v>
      </c>
      <c r="T14" s="148">
        <f t="shared" si="24"/>
        <v>0.17565460206187494</v>
      </c>
      <c r="U14" s="139"/>
      <c r="V14" s="139"/>
      <c r="W14" s="149">
        <f t="shared" si="35"/>
        <v>3.5</v>
      </c>
      <c r="X14" s="139"/>
      <c r="Y14" s="150">
        <f t="shared" si="36"/>
        <v>-0.02</v>
      </c>
      <c r="Z14" s="139"/>
      <c r="AA14" s="151">
        <f t="shared" si="37"/>
        <v>14</v>
      </c>
      <c r="AB14" s="139"/>
      <c r="AC14" s="150">
        <f t="shared" si="38"/>
        <v>0.2</v>
      </c>
      <c r="AD14" s="139"/>
      <c r="AE14" s="144">
        <f t="shared" si="39"/>
        <v>0.85</v>
      </c>
    </row>
    <row r="15" spans="1:31">
      <c r="A15" s="81">
        <f t="shared" si="25"/>
        <v>2032</v>
      </c>
      <c r="C15" s="144">
        <f t="shared" si="26"/>
        <v>0.21</v>
      </c>
      <c r="D15" s="145">
        <f t="shared" si="27"/>
        <v>2494</v>
      </c>
      <c r="E15" s="145">
        <f t="shared" si="27"/>
        <v>15</v>
      </c>
      <c r="F15" s="145">
        <f t="shared" ref="F15" si="46">F14</f>
        <v>20</v>
      </c>
      <c r="G15" s="139"/>
      <c r="H15" s="144">
        <f t="shared" si="41"/>
        <v>2.5000000000000001E-2</v>
      </c>
      <c r="I15" s="139"/>
      <c r="J15" s="146">
        <f t="shared" si="29"/>
        <v>0.11046</v>
      </c>
      <c r="K15" s="145">
        <f t="shared" si="30"/>
        <v>10000</v>
      </c>
      <c r="L15" s="146">
        <f t="shared" si="31"/>
        <v>8.3940000000000001E-2</v>
      </c>
      <c r="M15" s="144">
        <f t="shared" si="42"/>
        <v>0</v>
      </c>
      <c r="N15" s="144">
        <f t="shared" si="42"/>
        <v>0</v>
      </c>
      <c r="O15" s="139"/>
      <c r="P15" s="147">
        <f t="shared" si="32"/>
        <v>7.1898356200626452</v>
      </c>
      <c r="Q15" s="147">
        <f t="shared" si="33"/>
        <v>7.1898356200626452</v>
      </c>
      <c r="R15" s="139"/>
      <c r="S15" s="148">
        <f t="shared" si="34"/>
        <v>1.2003064474228121E-2</v>
      </c>
      <c r="T15" s="148">
        <f t="shared" si="24"/>
        <v>0.1800459671134218</v>
      </c>
      <c r="U15" s="139"/>
      <c r="V15" s="139"/>
      <c r="W15" s="149">
        <f t="shared" si="35"/>
        <v>3.5</v>
      </c>
      <c r="X15" s="139"/>
      <c r="Y15" s="150">
        <f t="shared" si="36"/>
        <v>-0.02</v>
      </c>
      <c r="Z15" s="139"/>
      <c r="AA15" s="151">
        <f t="shared" si="37"/>
        <v>14</v>
      </c>
      <c r="AB15" s="139"/>
      <c r="AC15" s="150">
        <f t="shared" si="38"/>
        <v>0.2</v>
      </c>
      <c r="AD15" s="139"/>
      <c r="AE15" s="144">
        <f t="shared" si="39"/>
        <v>0.85</v>
      </c>
    </row>
    <row r="16" spans="1:31">
      <c r="A16" s="81">
        <f t="shared" si="25"/>
        <v>2033</v>
      </c>
      <c r="C16" s="144">
        <f t="shared" si="26"/>
        <v>0.21</v>
      </c>
      <c r="D16" s="145">
        <f t="shared" si="27"/>
        <v>2494</v>
      </c>
      <c r="E16" s="145">
        <f t="shared" si="27"/>
        <v>15</v>
      </c>
      <c r="F16" s="145">
        <f t="shared" ref="F16" si="47">F15</f>
        <v>20</v>
      </c>
      <c r="G16" s="139"/>
      <c r="H16" s="144">
        <f t="shared" si="41"/>
        <v>2.5000000000000001E-2</v>
      </c>
      <c r="I16" s="139"/>
      <c r="J16" s="146">
        <f t="shared" si="29"/>
        <v>0.11046</v>
      </c>
      <c r="K16" s="145">
        <f t="shared" si="30"/>
        <v>10000</v>
      </c>
      <c r="L16" s="146">
        <f t="shared" si="31"/>
        <v>8.3940000000000001E-2</v>
      </c>
      <c r="M16" s="144">
        <f t="shared" si="42"/>
        <v>0</v>
      </c>
      <c r="N16" s="144">
        <f t="shared" si="42"/>
        <v>0</v>
      </c>
      <c r="O16" s="139"/>
      <c r="P16" s="147">
        <f t="shared" si="32"/>
        <v>7.3695815105642106</v>
      </c>
      <c r="Q16" s="147">
        <f t="shared" si="33"/>
        <v>7.3695815105642106</v>
      </c>
      <c r="R16" s="139"/>
      <c r="S16" s="148">
        <f t="shared" si="34"/>
        <v>1.2303141086083822E-2</v>
      </c>
      <c r="T16" s="148">
        <f t="shared" si="24"/>
        <v>0.18454711629125733</v>
      </c>
      <c r="U16" s="139"/>
      <c r="V16" s="139"/>
      <c r="W16" s="149">
        <f t="shared" si="35"/>
        <v>3.5</v>
      </c>
      <c r="X16" s="139"/>
      <c r="Y16" s="150">
        <f t="shared" si="36"/>
        <v>-0.02</v>
      </c>
      <c r="Z16" s="139"/>
      <c r="AA16" s="151">
        <f t="shared" si="37"/>
        <v>14</v>
      </c>
      <c r="AB16" s="139"/>
      <c r="AC16" s="150">
        <f t="shared" si="38"/>
        <v>0.2</v>
      </c>
      <c r="AD16" s="139"/>
      <c r="AE16" s="144">
        <f t="shared" si="39"/>
        <v>0.85</v>
      </c>
    </row>
    <row r="17" spans="1:31">
      <c r="A17" s="81">
        <f t="shared" si="25"/>
        <v>2034</v>
      </c>
      <c r="C17" s="144">
        <f t="shared" si="26"/>
        <v>0.21</v>
      </c>
      <c r="D17" s="145">
        <f t="shared" si="27"/>
        <v>2494</v>
      </c>
      <c r="E17" s="145">
        <f t="shared" si="27"/>
        <v>15</v>
      </c>
      <c r="F17" s="145">
        <f t="shared" ref="F17" si="48">F16</f>
        <v>20</v>
      </c>
      <c r="G17" s="139"/>
      <c r="H17" s="144">
        <f t="shared" si="41"/>
        <v>2.5000000000000001E-2</v>
      </c>
      <c r="I17" s="139"/>
      <c r="J17" s="146">
        <f t="shared" si="29"/>
        <v>0.11046</v>
      </c>
      <c r="K17" s="145">
        <f t="shared" si="30"/>
        <v>10000</v>
      </c>
      <c r="L17" s="146">
        <f t="shared" si="31"/>
        <v>8.3940000000000001E-2</v>
      </c>
      <c r="M17" s="144">
        <f t="shared" si="42"/>
        <v>0</v>
      </c>
      <c r="N17" s="144">
        <f t="shared" si="42"/>
        <v>0</v>
      </c>
      <c r="O17" s="139"/>
      <c r="P17" s="147">
        <f t="shared" si="32"/>
        <v>7.5538210483283148</v>
      </c>
      <c r="Q17" s="147">
        <f t="shared" si="33"/>
        <v>7.5538210483283148</v>
      </c>
      <c r="R17" s="139"/>
      <c r="S17" s="148">
        <f t="shared" si="34"/>
        <v>1.2610719613235916E-2</v>
      </c>
      <c r="T17" s="148">
        <f t="shared" si="24"/>
        <v>0.18916079419853876</v>
      </c>
      <c r="U17" s="139"/>
      <c r="V17" s="139"/>
      <c r="W17" s="149">
        <f t="shared" si="35"/>
        <v>3.5</v>
      </c>
      <c r="X17" s="139"/>
      <c r="Y17" s="150">
        <f t="shared" si="36"/>
        <v>-0.02</v>
      </c>
      <c r="Z17" s="139"/>
      <c r="AA17" s="151">
        <f t="shared" si="37"/>
        <v>14</v>
      </c>
      <c r="AB17" s="139"/>
      <c r="AC17" s="150">
        <f t="shared" si="38"/>
        <v>0.2</v>
      </c>
      <c r="AD17" s="139"/>
      <c r="AE17" s="144">
        <f t="shared" si="39"/>
        <v>0.85</v>
      </c>
    </row>
    <row r="18" spans="1:31">
      <c r="A18" s="81">
        <f t="shared" si="25"/>
        <v>2035</v>
      </c>
      <c r="C18" s="144">
        <f t="shared" si="26"/>
        <v>0.21</v>
      </c>
      <c r="D18" s="145">
        <f t="shared" si="27"/>
        <v>2494</v>
      </c>
      <c r="E18" s="145">
        <f t="shared" si="27"/>
        <v>15</v>
      </c>
      <c r="F18" s="145">
        <f t="shared" ref="F18" si="49">F17</f>
        <v>20</v>
      </c>
      <c r="G18" s="139"/>
      <c r="H18" s="144">
        <f t="shared" si="41"/>
        <v>2.5000000000000001E-2</v>
      </c>
      <c r="I18" s="139"/>
      <c r="J18" s="146">
        <f t="shared" si="29"/>
        <v>0.11046</v>
      </c>
      <c r="K18" s="145">
        <f t="shared" si="30"/>
        <v>10000</v>
      </c>
      <c r="L18" s="146">
        <f t="shared" si="31"/>
        <v>8.3940000000000001E-2</v>
      </c>
      <c r="M18" s="144">
        <f t="shared" si="42"/>
        <v>0</v>
      </c>
      <c r="N18" s="144">
        <f t="shared" si="42"/>
        <v>0</v>
      </c>
      <c r="O18" s="139"/>
      <c r="P18" s="147">
        <f t="shared" si="32"/>
        <v>7.7426665745365222</v>
      </c>
      <c r="Q18" s="147">
        <f t="shared" si="33"/>
        <v>7.7426665745365222</v>
      </c>
      <c r="R18" s="139"/>
      <c r="S18" s="148">
        <f t="shared" si="34"/>
        <v>1.2925987603566813E-2</v>
      </c>
      <c r="T18" s="148">
        <f t="shared" si="24"/>
        <v>0.19388981405350222</v>
      </c>
      <c r="U18" s="139"/>
      <c r="V18" s="139"/>
      <c r="W18" s="149">
        <f t="shared" si="35"/>
        <v>3.5</v>
      </c>
      <c r="X18" s="139"/>
      <c r="Y18" s="150">
        <f t="shared" si="36"/>
        <v>-0.02</v>
      </c>
      <c r="Z18" s="139"/>
      <c r="AA18" s="151">
        <f t="shared" si="37"/>
        <v>14</v>
      </c>
      <c r="AB18" s="139"/>
      <c r="AC18" s="150">
        <f t="shared" si="38"/>
        <v>0.2</v>
      </c>
      <c r="AD18" s="139"/>
      <c r="AE18" s="144">
        <f t="shared" si="39"/>
        <v>0.85</v>
      </c>
    </row>
    <row r="19" spans="1:31">
      <c r="A19" s="81">
        <f t="shared" si="25"/>
        <v>2036</v>
      </c>
      <c r="C19" s="144">
        <f t="shared" si="26"/>
        <v>0.21</v>
      </c>
      <c r="D19" s="145">
        <f t="shared" si="27"/>
        <v>2494</v>
      </c>
      <c r="E19" s="145">
        <f t="shared" si="27"/>
        <v>15</v>
      </c>
      <c r="F19" s="145">
        <f t="shared" ref="F19" si="50">F18</f>
        <v>20</v>
      </c>
      <c r="G19" s="139"/>
      <c r="H19" s="144">
        <f t="shared" si="41"/>
        <v>2.5000000000000001E-2</v>
      </c>
      <c r="I19" s="139"/>
      <c r="J19" s="146">
        <f t="shared" si="29"/>
        <v>0.11046</v>
      </c>
      <c r="K19" s="145">
        <f t="shared" si="30"/>
        <v>10000</v>
      </c>
      <c r="L19" s="146">
        <f t="shared" si="31"/>
        <v>8.3940000000000001E-2</v>
      </c>
      <c r="M19" s="144">
        <f t="shared" si="42"/>
        <v>0</v>
      </c>
      <c r="N19" s="144">
        <f t="shared" si="42"/>
        <v>0</v>
      </c>
      <c r="O19" s="139"/>
      <c r="P19" s="147">
        <f t="shared" si="32"/>
        <v>7.9362332388999342</v>
      </c>
      <c r="Q19" s="147">
        <f t="shared" si="33"/>
        <v>7.9362332388999342</v>
      </c>
      <c r="R19" s="139"/>
      <c r="S19" s="148">
        <f t="shared" si="34"/>
        <v>1.3249137293655983E-2</v>
      </c>
      <c r="T19" s="148">
        <f t="shared" si="24"/>
        <v>0.19873705940483977</v>
      </c>
      <c r="U19" s="139"/>
      <c r="V19" s="139"/>
      <c r="W19" s="149">
        <f t="shared" si="35"/>
        <v>3.5</v>
      </c>
      <c r="X19" s="139"/>
      <c r="Y19" s="150">
        <f t="shared" si="36"/>
        <v>-0.02</v>
      </c>
      <c r="Z19" s="139"/>
      <c r="AA19" s="151">
        <f t="shared" si="37"/>
        <v>14</v>
      </c>
      <c r="AB19" s="139"/>
      <c r="AC19" s="150">
        <f t="shared" si="38"/>
        <v>0.2</v>
      </c>
      <c r="AD19" s="139"/>
      <c r="AE19" s="144">
        <f t="shared" si="39"/>
        <v>0.85</v>
      </c>
    </row>
    <row r="20" spans="1:31">
      <c r="A20" s="81">
        <f t="shared" si="25"/>
        <v>2037</v>
      </c>
      <c r="C20" s="144">
        <f t="shared" si="26"/>
        <v>0.21</v>
      </c>
      <c r="D20" s="145">
        <f t="shared" si="27"/>
        <v>2494</v>
      </c>
      <c r="E20" s="145">
        <f t="shared" si="27"/>
        <v>15</v>
      </c>
      <c r="F20" s="145">
        <f t="shared" ref="F20" si="51">F19</f>
        <v>20</v>
      </c>
      <c r="G20" s="139"/>
      <c r="H20" s="144">
        <f t="shared" si="41"/>
        <v>2.5000000000000001E-2</v>
      </c>
      <c r="I20" s="139"/>
      <c r="J20" s="146">
        <f t="shared" si="29"/>
        <v>0.11046</v>
      </c>
      <c r="K20" s="145">
        <f t="shared" si="30"/>
        <v>10000</v>
      </c>
      <c r="L20" s="146">
        <f t="shared" si="31"/>
        <v>8.3940000000000001E-2</v>
      </c>
      <c r="M20" s="144">
        <f t="shared" si="42"/>
        <v>0</v>
      </c>
      <c r="N20" s="144">
        <f t="shared" si="42"/>
        <v>0</v>
      </c>
      <c r="O20" s="139"/>
      <c r="P20" s="147">
        <f t="shared" si="32"/>
        <v>8.1346390698724313</v>
      </c>
      <c r="Q20" s="147">
        <f t="shared" si="33"/>
        <v>8.1346390698724313</v>
      </c>
      <c r="R20" s="139"/>
      <c r="S20" s="148">
        <f t="shared" si="34"/>
        <v>1.3580365725997381E-2</v>
      </c>
      <c r="T20" s="148">
        <f t="shared" si="24"/>
        <v>0.20370548588996074</v>
      </c>
      <c r="U20" s="139"/>
      <c r="V20" s="139"/>
      <c r="W20" s="149">
        <f t="shared" si="35"/>
        <v>3.5</v>
      </c>
      <c r="X20" s="139"/>
      <c r="Y20" s="150">
        <f t="shared" si="36"/>
        <v>-0.02</v>
      </c>
      <c r="Z20" s="139"/>
      <c r="AA20" s="151">
        <f t="shared" si="37"/>
        <v>14</v>
      </c>
      <c r="AB20" s="139"/>
      <c r="AC20" s="150">
        <f t="shared" si="38"/>
        <v>0.2</v>
      </c>
      <c r="AD20" s="139"/>
      <c r="AE20" s="144">
        <f t="shared" si="39"/>
        <v>0.85</v>
      </c>
    </row>
    <row r="21" spans="1:31">
      <c r="A21" s="81">
        <f t="shared" si="25"/>
        <v>2038</v>
      </c>
      <c r="C21" s="144">
        <f t="shared" si="26"/>
        <v>0.21</v>
      </c>
      <c r="D21" s="145">
        <f t="shared" si="27"/>
        <v>2494</v>
      </c>
      <c r="E21" s="145">
        <f t="shared" si="27"/>
        <v>15</v>
      </c>
      <c r="F21" s="145">
        <f t="shared" ref="F21" si="52">F20</f>
        <v>20</v>
      </c>
      <c r="G21" s="139"/>
      <c r="H21" s="144">
        <f t="shared" si="41"/>
        <v>2.5000000000000001E-2</v>
      </c>
      <c r="I21" s="139"/>
      <c r="J21" s="146">
        <f t="shared" si="29"/>
        <v>0.11046</v>
      </c>
      <c r="K21" s="145">
        <f t="shared" si="30"/>
        <v>10000</v>
      </c>
      <c r="L21" s="146">
        <f t="shared" si="31"/>
        <v>8.3940000000000001E-2</v>
      </c>
      <c r="M21" s="144">
        <f>M20</f>
        <v>0</v>
      </c>
      <c r="N21" s="144">
        <f t="shared" si="42"/>
        <v>0</v>
      </c>
      <c r="O21" s="139"/>
      <c r="P21" s="147">
        <f t="shared" si="32"/>
        <v>8.3380050466192408</v>
      </c>
      <c r="Q21" s="147">
        <f t="shared" si="33"/>
        <v>8.3380050466192408</v>
      </c>
      <c r="R21" s="139"/>
      <c r="S21" s="148">
        <f t="shared" si="34"/>
        <v>1.3919874869147314E-2</v>
      </c>
      <c r="T21" s="148">
        <f t="shared" si="24"/>
        <v>0.20879812303720974</v>
      </c>
      <c r="U21" s="139"/>
      <c r="V21" s="139"/>
      <c r="W21" s="149">
        <f t="shared" si="35"/>
        <v>3.5</v>
      </c>
      <c r="X21" s="139"/>
      <c r="Y21" s="150">
        <f t="shared" si="36"/>
        <v>-0.02</v>
      </c>
      <c r="Z21" s="139"/>
      <c r="AA21" s="151">
        <f t="shared" si="37"/>
        <v>14</v>
      </c>
      <c r="AB21" s="139"/>
      <c r="AC21" s="150">
        <f t="shared" si="38"/>
        <v>0.2</v>
      </c>
      <c r="AD21" s="139"/>
      <c r="AE21" s="144">
        <f t="shared" si="39"/>
        <v>0.85</v>
      </c>
    </row>
    <row r="22" spans="1:31">
      <c r="A22" s="81">
        <f t="shared" si="25"/>
        <v>2039</v>
      </c>
      <c r="C22" s="144">
        <f t="shared" si="26"/>
        <v>0.21</v>
      </c>
      <c r="D22" s="145">
        <f t="shared" si="27"/>
        <v>2494</v>
      </c>
      <c r="E22" s="145">
        <f t="shared" si="27"/>
        <v>15</v>
      </c>
      <c r="F22" s="145">
        <f t="shared" ref="F22" si="53">F21</f>
        <v>20</v>
      </c>
      <c r="G22" s="139"/>
      <c r="H22" s="144">
        <f t="shared" si="41"/>
        <v>2.5000000000000001E-2</v>
      </c>
      <c r="I22" s="139"/>
      <c r="J22" s="146">
        <f t="shared" si="29"/>
        <v>0.11046</v>
      </c>
      <c r="K22" s="145">
        <f t="shared" si="30"/>
        <v>10000</v>
      </c>
      <c r="L22" s="146">
        <f t="shared" si="31"/>
        <v>8.3940000000000001E-2</v>
      </c>
      <c r="M22" s="144">
        <f t="shared" si="42"/>
        <v>0</v>
      </c>
      <c r="N22" s="144">
        <f t="shared" si="42"/>
        <v>0</v>
      </c>
      <c r="O22" s="139"/>
      <c r="P22" s="147">
        <f t="shared" si="32"/>
        <v>8.5464551727847216</v>
      </c>
      <c r="Q22" s="147">
        <f t="shared" si="33"/>
        <v>8.5464551727847216</v>
      </c>
      <c r="R22" s="139"/>
      <c r="S22" s="148">
        <f t="shared" si="34"/>
        <v>1.4267871740875996E-2</v>
      </c>
      <c r="T22" s="148">
        <f t="shared" si="24"/>
        <v>0.21401807611313997</v>
      </c>
      <c r="U22" s="139"/>
      <c r="V22" s="139"/>
      <c r="W22" s="149">
        <f t="shared" si="35"/>
        <v>3.5</v>
      </c>
      <c r="X22" s="139"/>
      <c r="Y22" s="150">
        <f t="shared" si="36"/>
        <v>-0.02</v>
      </c>
      <c r="Z22" s="139"/>
      <c r="AA22" s="151">
        <f t="shared" si="37"/>
        <v>14</v>
      </c>
      <c r="AB22" s="139"/>
      <c r="AC22" s="150">
        <f t="shared" si="38"/>
        <v>0.2</v>
      </c>
      <c r="AD22" s="139"/>
      <c r="AE22" s="144">
        <f t="shared" si="39"/>
        <v>0.85</v>
      </c>
    </row>
    <row r="23" spans="1:31">
      <c r="A23" s="81">
        <f t="shared" si="25"/>
        <v>2040</v>
      </c>
      <c r="C23" s="144">
        <f t="shared" si="26"/>
        <v>0.21</v>
      </c>
      <c r="D23" s="145">
        <f t="shared" si="27"/>
        <v>2494</v>
      </c>
      <c r="E23" s="145">
        <f t="shared" si="27"/>
        <v>15</v>
      </c>
      <c r="F23" s="145">
        <f t="shared" ref="F23" si="54">F22</f>
        <v>20</v>
      </c>
      <c r="G23" s="139"/>
      <c r="H23" s="144">
        <f t="shared" si="41"/>
        <v>2.5000000000000001E-2</v>
      </c>
      <c r="I23" s="139"/>
      <c r="J23" s="146">
        <f t="shared" si="29"/>
        <v>0.11046</v>
      </c>
      <c r="K23" s="145">
        <f t="shared" si="30"/>
        <v>10000</v>
      </c>
      <c r="L23" s="146">
        <f t="shared" si="31"/>
        <v>8.3940000000000001E-2</v>
      </c>
      <c r="M23" s="144">
        <f t="shared" si="42"/>
        <v>0</v>
      </c>
      <c r="N23" s="144">
        <f t="shared" si="42"/>
        <v>0</v>
      </c>
      <c r="O23" s="139"/>
      <c r="P23" s="147">
        <f t="shared" si="32"/>
        <v>8.7601165521043391</v>
      </c>
      <c r="Q23" s="147">
        <f t="shared" si="33"/>
        <v>8.7601165521043391</v>
      </c>
      <c r="R23" s="139"/>
      <c r="S23" s="148">
        <f t="shared" si="34"/>
        <v>1.4624568534397895E-2</v>
      </c>
      <c r="T23" s="148">
        <f t="shared" si="24"/>
        <v>0.21936852801596846</v>
      </c>
      <c r="U23" s="139"/>
      <c r="V23" s="139"/>
      <c r="W23" s="149">
        <f t="shared" si="35"/>
        <v>3.5</v>
      </c>
      <c r="X23" s="139"/>
      <c r="Y23" s="150">
        <f t="shared" si="36"/>
        <v>-0.02</v>
      </c>
      <c r="Z23" s="139"/>
      <c r="AA23" s="151">
        <f t="shared" si="37"/>
        <v>14</v>
      </c>
      <c r="AB23" s="139"/>
      <c r="AC23" s="150">
        <f t="shared" si="38"/>
        <v>0.2</v>
      </c>
      <c r="AD23" s="139"/>
      <c r="AE23" s="144">
        <f t="shared" si="39"/>
        <v>0.85</v>
      </c>
    </row>
    <row r="24" spans="1:31">
      <c r="A24" s="81">
        <f t="shared" si="25"/>
        <v>2041</v>
      </c>
      <c r="C24" s="144">
        <f t="shared" si="26"/>
        <v>0.21</v>
      </c>
      <c r="D24" s="145">
        <f t="shared" si="27"/>
        <v>2494</v>
      </c>
      <c r="E24" s="145">
        <f t="shared" si="27"/>
        <v>15</v>
      </c>
      <c r="F24" s="145">
        <f t="shared" ref="F24" si="55">F23</f>
        <v>20</v>
      </c>
      <c r="G24" s="139"/>
      <c r="H24" s="144">
        <f t="shared" si="41"/>
        <v>2.5000000000000001E-2</v>
      </c>
      <c r="I24" s="139"/>
      <c r="J24" s="146">
        <f t="shared" si="29"/>
        <v>0.11046</v>
      </c>
      <c r="K24" s="145">
        <f t="shared" si="30"/>
        <v>10000</v>
      </c>
      <c r="L24" s="146">
        <f t="shared" si="31"/>
        <v>8.3940000000000001E-2</v>
      </c>
      <c r="M24" s="144">
        <f t="shared" si="42"/>
        <v>0</v>
      </c>
      <c r="N24" s="144">
        <f t="shared" si="42"/>
        <v>0</v>
      </c>
      <c r="O24" s="139"/>
      <c r="P24" s="147">
        <f t="shared" si="32"/>
        <v>8.9791194659069475</v>
      </c>
      <c r="Q24" s="147">
        <f t="shared" si="33"/>
        <v>8.9791194659069475</v>
      </c>
      <c r="R24" s="139"/>
      <c r="S24" s="148">
        <f t="shared" si="34"/>
        <v>1.4990182747757841E-2</v>
      </c>
      <c r="T24" s="148">
        <f t="shared" si="24"/>
        <v>0.22485274121636764</v>
      </c>
      <c r="U24" s="139"/>
      <c r="V24" s="139"/>
      <c r="W24" s="149">
        <f t="shared" si="35"/>
        <v>3.5</v>
      </c>
      <c r="X24" s="139"/>
      <c r="Y24" s="150">
        <f t="shared" si="36"/>
        <v>-0.02</v>
      </c>
      <c r="Z24" s="139"/>
      <c r="AA24" s="151">
        <f t="shared" si="37"/>
        <v>14</v>
      </c>
      <c r="AB24" s="139"/>
      <c r="AC24" s="150">
        <f t="shared" si="38"/>
        <v>0.2</v>
      </c>
      <c r="AD24" s="139"/>
      <c r="AE24" s="144">
        <f t="shared" si="39"/>
        <v>0.85</v>
      </c>
    </row>
    <row r="25" spans="1:31">
      <c r="A25" s="81">
        <f t="shared" si="25"/>
        <v>2042</v>
      </c>
      <c r="C25" s="144">
        <f t="shared" si="26"/>
        <v>0.21</v>
      </c>
      <c r="D25" s="145">
        <f t="shared" si="27"/>
        <v>2494</v>
      </c>
      <c r="E25" s="145">
        <f t="shared" si="27"/>
        <v>15</v>
      </c>
      <c r="F25" s="145">
        <f t="shared" ref="F25" si="56">F24</f>
        <v>20</v>
      </c>
      <c r="G25" s="139"/>
      <c r="H25" s="144">
        <f t="shared" si="41"/>
        <v>2.5000000000000001E-2</v>
      </c>
      <c r="I25" s="139"/>
      <c r="J25" s="146">
        <f t="shared" si="29"/>
        <v>0.11046</v>
      </c>
      <c r="K25" s="145">
        <f t="shared" si="30"/>
        <v>10000</v>
      </c>
      <c r="L25" s="146">
        <f t="shared" si="31"/>
        <v>8.3940000000000001E-2</v>
      </c>
      <c r="M25" s="144">
        <f t="shared" si="42"/>
        <v>0</v>
      </c>
      <c r="N25" s="144">
        <f t="shared" si="42"/>
        <v>0</v>
      </c>
      <c r="O25" s="139"/>
      <c r="P25" s="147">
        <f t="shared" si="32"/>
        <v>9.2035974525546198</v>
      </c>
      <c r="Q25" s="147">
        <f t="shared" si="33"/>
        <v>9.2035974525546198</v>
      </c>
      <c r="R25" s="139"/>
      <c r="S25" s="148">
        <f t="shared" si="34"/>
        <v>1.5364937316451785E-2</v>
      </c>
      <c r="T25" s="148">
        <f t="shared" si="24"/>
        <v>0.23047405974677682</v>
      </c>
      <c r="U25" s="139"/>
      <c r="V25" s="139"/>
      <c r="W25" s="149">
        <f t="shared" si="35"/>
        <v>3.5</v>
      </c>
      <c r="X25" s="139"/>
      <c r="Y25" s="150">
        <f t="shared" si="36"/>
        <v>-0.02</v>
      </c>
      <c r="Z25" s="139"/>
      <c r="AA25" s="151">
        <f t="shared" si="37"/>
        <v>14</v>
      </c>
      <c r="AB25" s="139"/>
      <c r="AC25" s="150">
        <f t="shared" si="38"/>
        <v>0.2</v>
      </c>
      <c r="AD25" s="139"/>
      <c r="AE25" s="144">
        <f t="shared" si="39"/>
        <v>0.85</v>
      </c>
    </row>
    <row r="26" spans="1:31">
      <c r="A26" s="81">
        <f t="shared" si="25"/>
        <v>2043</v>
      </c>
      <c r="C26" s="144">
        <f t="shared" si="26"/>
        <v>0.21</v>
      </c>
      <c r="D26" s="145">
        <f t="shared" si="27"/>
        <v>2494</v>
      </c>
      <c r="E26" s="145">
        <f t="shared" si="27"/>
        <v>15</v>
      </c>
      <c r="F26" s="145">
        <f t="shared" ref="F26" si="57">F25</f>
        <v>20</v>
      </c>
      <c r="G26" s="139"/>
      <c r="H26" s="144">
        <f t="shared" si="41"/>
        <v>2.5000000000000001E-2</v>
      </c>
      <c r="I26" s="139"/>
      <c r="J26" s="146">
        <f t="shared" si="29"/>
        <v>0.11046</v>
      </c>
      <c r="K26" s="145">
        <f t="shared" si="30"/>
        <v>10000</v>
      </c>
      <c r="L26" s="146">
        <f t="shared" si="31"/>
        <v>8.3940000000000001E-2</v>
      </c>
      <c r="M26" s="144">
        <f t="shared" si="42"/>
        <v>0</v>
      </c>
      <c r="N26" s="144">
        <f t="shared" si="42"/>
        <v>0</v>
      </c>
      <c r="O26" s="139"/>
      <c r="P26" s="147">
        <f t="shared" si="32"/>
        <v>9.4336873888684849</v>
      </c>
      <c r="Q26" s="147">
        <f t="shared" si="33"/>
        <v>9.4336873888684849</v>
      </c>
      <c r="R26" s="139"/>
      <c r="S26" s="148">
        <f t="shared" si="34"/>
        <v>1.5749060749363077E-2</v>
      </c>
      <c r="T26" s="148">
        <f t="shared" si="24"/>
        <v>0.23623591124044621</v>
      </c>
      <c r="U26" s="139"/>
      <c r="V26" s="139"/>
      <c r="W26" s="149">
        <f t="shared" si="35"/>
        <v>3.5</v>
      </c>
      <c r="X26" s="139"/>
      <c r="Y26" s="150">
        <f t="shared" si="36"/>
        <v>-0.02</v>
      </c>
      <c r="Z26" s="139"/>
      <c r="AA26" s="151">
        <f t="shared" si="37"/>
        <v>14</v>
      </c>
      <c r="AB26" s="139"/>
      <c r="AC26" s="150">
        <f t="shared" si="38"/>
        <v>0.2</v>
      </c>
      <c r="AD26" s="139"/>
      <c r="AE26" s="144">
        <f t="shared" ref="AE26:AE36" si="58">AE25</f>
        <v>0.85</v>
      </c>
    </row>
    <row r="27" spans="1:31">
      <c r="A27" s="81">
        <f t="shared" si="25"/>
        <v>2044</v>
      </c>
      <c r="C27" s="144">
        <f t="shared" si="26"/>
        <v>0.21</v>
      </c>
      <c r="D27" s="145">
        <f t="shared" si="27"/>
        <v>2494</v>
      </c>
      <c r="E27" s="145">
        <f t="shared" si="27"/>
        <v>15</v>
      </c>
      <c r="F27" s="145">
        <f t="shared" ref="F27" si="59">F26</f>
        <v>20</v>
      </c>
      <c r="G27" s="139"/>
      <c r="H27" s="144">
        <f t="shared" si="41"/>
        <v>2.5000000000000001E-2</v>
      </c>
      <c r="I27" s="139"/>
      <c r="J27" s="146">
        <f t="shared" si="29"/>
        <v>0.11046</v>
      </c>
      <c r="K27" s="145">
        <f t="shared" si="30"/>
        <v>10000</v>
      </c>
      <c r="L27" s="146">
        <f t="shared" si="31"/>
        <v>8.3940000000000001E-2</v>
      </c>
      <c r="M27" s="144">
        <f t="shared" si="42"/>
        <v>0</v>
      </c>
      <c r="N27" s="144">
        <f t="shared" si="42"/>
        <v>0</v>
      </c>
      <c r="O27" s="139"/>
      <c r="P27" s="147">
        <f t="shared" si="32"/>
        <v>9.6695295735901965</v>
      </c>
      <c r="Q27" s="147">
        <f t="shared" si="33"/>
        <v>9.6695295735901965</v>
      </c>
      <c r="R27" s="139"/>
      <c r="S27" s="148">
        <f t="shared" si="34"/>
        <v>1.6142787268097154E-2</v>
      </c>
      <c r="T27" s="148">
        <f t="shared" si="24"/>
        <v>0.24214180902145735</v>
      </c>
      <c r="U27" s="139"/>
      <c r="V27" s="139"/>
      <c r="W27" s="149">
        <f t="shared" si="35"/>
        <v>3.5</v>
      </c>
      <c r="X27" s="139"/>
      <c r="Y27" s="150">
        <f t="shared" si="36"/>
        <v>-0.02</v>
      </c>
      <c r="Z27" s="139"/>
      <c r="AA27" s="151">
        <f t="shared" si="37"/>
        <v>14</v>
      </c>
      <c r="AB27" s="139"/>
      <c r="AC27" s="150">
        <f t="shared" si="38"/>
        <v>0.2</v>
      </c>
      <c r="AD27" s="139"/>
      <c r="AE27" s="144">
        <f t="shared" si="58"/>
        <v>0.85</v>
      </c>
    </row>
    <row r="28" spans="1:31">
      <c r="A28" s="81">
        <f t="shared" si="25"/>
        <v>2045</v>
      </c>
      <c r="C28" s="144">
        <f t="shared" si="26"/>
        <v>0.21</v>
      </c>
      <c r="D28" s="145">
        <f t="shared" si="27"/>
        <v>2494</v>
      </c>
      <c r="E28" s="145">
        <f t="shared" si="27"/>
        <v>15</v>
      </c>
      <c r="F28" s="145">
        <f t="shared" ref="F28" si="60">F27</f>
        <v>20</v>
      </c>
      <c r="G28" s="139"/>
      <c r="H28" s="144">
        <f t="shared" si="41"/>
        <v>2.5000000000000001E-2</v>
      </c>
      <c r="I28" s="139"/>
      <c r="J28" s="146">
        <f t="shared" si="29"/>
        <v>0.11046</v>
      </c>
      <c r="K28" s="145">
        <f t="shared" si="30"/>
        <v>10000</v>
      </c>
      <c r="L28" s="146">
        <f t="shared" si="31"/>
        <v>8.3940000000000001E-2</v>
      </c>
      <c r="M28" s="144">
        <f t="shared" si="42"/>
        <v>0</v>
      </c>
      <c r="N28" s="144">
        <f t="shared" si="42"/>
        <v>0</v>
      </c>
      <c r="O28" s="139"/>
      <c r="P28" s="147">
        <f t="shared" si="32"/>
        <v>9.9112678129299514</v>
      </c>
      <c r="Q28" s="147">
        <f t="shared" si="33"/>
        <v>9.9112678129299514</v>
      </c>
      <c r="R28" s="139"/>
      <c r="S28" s="148">
        <f t="shared" si="34"/>
        <v>1.6546356949799581E-2</v>
      </c>
      <c r="T28" s="148">
        <f t="shared" si="24"/>
        <v>0.24819535424699377</v>
      </c>
      <c r="U28" s="139"/>
      <c r="V28" s="139"/>
      <c r="W28" s="149">
        <f t="shared" si="35"/>
        <v>3.5</v>
      </c>
      <c r="X28" s="139"/>
      <c r="Y28" s="150">
        <f t="shared" si="36"/>
        <v>-0.02</v>
      </c>
      <c r="Z28" s="139"/>
      <c r="AA28" s="151">
        <f t="shared" si="37"/>
        <v>14</v>
      </c>
      <c r="AB28" s="139"/>
      <c r="AC28" s="150">
        <f t="shared" si="38"/>
        <v>0.2</v>
      </c>
      <c r="AD28" s="139"/>
      <c r="AE28" s="144">
        <f t="shared" si="58"/>
        <v>0.85</v>
      </c>
    </row>
    <row r="29" spans="1:31">
      <c r="A29" s="81">
        <f t="shared" si="25"/>
        <v>2046</v>
      </c>
      <c r="C29" s="144">
        <f t="shared" si="26"/>
        <v>0.21</v>
      </c>
      <c r="D29" s="145">
        <f t="shared" si="27"/>
        <v>2494</v>
      </c>
      <c r="E29" s="145">
        <f t="shared" si="27"/>
        <v>15</v>
      </c>
      <c r="F29" s="145">
        <f t="shared" ref="F29" si="61">F28</f>
        <v>20</v>
      </c>
      <c r="G29" s="139"/>
      <c r="H29" s="144">
        <f t="shared" si="41"/>
        <v>2.5000000000000001E-2</v>
      </c>
      <c r="I29" s="139"/>
      <c r="J29" s="146">
        <f t="shared" si="29"/>
        <v>0.11046</v>
      </c>
      <c r="K29" s="145">
        <f t="shared" si="30"/>
        <v>10000</v>
      </c>
      <c r="L29" s="146">
        <f t="shared" si="31"/>
        <v>8.3940000000000001E-2</v>
      </c>
      <c r="M29" s="144">
        <f t="shared" si="42"/>
        <v>0</v>
      </c>
      <c r="N29" s="144">
        <f t="shared" si="42"/>
        <v>0</v>
      </c>
      <c r="O29" s="139"/>
      <c r="P29" s="147">
        <f t="shared" si="32"/>
        <v>10.159049508253199</v>
      </c>
      <c r="Q29" s="147">
        <f t="shared" si="33"/>
        <v>10.159049508253199</v>
      </c>
      <c r="R29" s="139"/>
      <c r="S29" s="148">
        <f t="shared" si="34"/>
        <v>1.6960015873544568E-2</v>
      </c>
      <c r="T29" s="148">
        <f t="shared" si="24"/>
        <v>0.25440023810316859</v>
      </c>
      <c r="U29" s="139"/>
      <c r="V29" s="139"/>
      <c r="W29" s="149">
        <f t="shared" si="35"/>
        <v>3.5</v>
      </c>
      <c r="X29" s="139"/>
      <c r="Y29" s="150">
        <f t="shared" si="36"/>
        <v>-0.02</v>
      </c>
      <c r="Z29" s="139"/>
      <c r="AA29" s="151">
        <f t="shared" si="37"/>
        <v>14</v>
      </c>
      <c r="AB29" s="139"/>
      <c r="AC29" s="150">
        <f t="shared" si="38"/>
        <v>0.2</v>
      </c>
      <c r="AD29" s="139"/>
      <c r="AE29" s="144">
        <f t="shared" si="58"/>
        <v>0.85</v>
      </c>
    </row>
    <row r="30" spans="1:31">
      <c r="A30" s="81">
        <f t="shared" si="25"/>
        <v>2047</v>
      </c>
      <c r="C30" s="144">
        <f t="shared" si="26"/>
        <v>0.21</v>
      </c>
      <c r="D30" s="145">
        <f t="shared" si="27"/>
        <v>2494</v>
      </c>
      <c r="E30" s="145">
        <f t="shared" si="27"/>
        <v>15</v>
      </c>
      <c r="F30" s="145">
        <f t="shared" ref="F30" si="62">F29</f>
        <v>20</v>
      </c>
      <c r="G30" s="139"/>
      <c r="H30" s="144">
        <f t="shared" si="41"/>
        <v>2.5000000000000001E-2</v>
      </c>
      <c r="I30" s="139"/>
      <c r="J30" s="146">
        <f t="shared" si="29"/>
        <v>0.11046</v>
      </c>
      <c r="K30" s="145">
        <f t="shared" si="30"/>
        <v>10000</v>
      </c>
      <c r="L30" s="146">
        <f t="shared" si="31"/>
        <v>8.3940000000000001E-2</v>
      </c>
      <c r="M30" s="144">
        <f t="shared" si="42"/>
        <v>0</v>
      </c>
      <c r="N30" s="144">
        <f t="shared" si="42"/>
        <v>0</v>
      </c>
      <c r="O30" s="139"/>
      <c r="P30" s="147">
        <f t="shared" si="32"/>
        <v>10.413025745959528</v>
      </c>
      <c r="Q30" s="147">
        <f t="shared" si="33"/>
        <v>10.413025745959528</v>
      </c>
      <c r="R30" s="139"/>
      <c r="S30" s="148">
        <f t="shared" si="34"/>
        <v>1.738401627038318E-2</v>
      </c>
      <c r="T30" s="148">
        <f t="shared" si="24"/>
        <v>0.26076024405574777</v>
      </c>
      <c r="U30" s="139"/>
      <c r="V30" s="139"/>
      <c r="W30" s="149">
        <f t="shared" si="35"/>
        <v>3.5</v>
      </c>
      <c r="X30" s="139"/>
      <c r="Y30" s="150">
        <f t="shared" si="36"/>
        <v>-0.02</v>
      </c>
      <c r="Z30" s="139"/>
      <c r="AA30" s="151">
        <f t="shared" si="37"/>
        <v>14</v>
      </c>
      <c r="AB30" s="139"/>
      <c r="AC30" s="150">
        <f t="shared" si="38"/>
        <v>0.2</v>
      </c>
      <c r="AD30" s="139"/>
      <c r="AE30" s="144">
        <f t="shared" si="58"/>
        <v>0.85</v>
      </c>
    </row>
    <row r="31" spans="1:31">
      <c r="A31" s="81">
        <f t="shared" si="25"/>
        <v>2048</v>
      </c>
      <c r="C31" s="144">
        <f t="shared" si="26"/>
        <v>0.21</v>
      </c>
      <c r="D31" s="145">
        <f t="shared" si="27"/>
        <v>2494</v>
      </c>
      <c r="E31" s="145">
        <f t="shared" si="27"/>
        <v>15</v>
      </c>
      <c r="F31" s="145">
        <f t="shared" ref="F31" si="63">F30</f>
        <v>20</v>
      </c>
      <c r="G31" s="139"/>
      <c r="H31" s="144">
        <f t="shared" si="41"/>
        <v>2.5000000000000001E-2</v>
      </c>
      <c r="I31" s="139"/>
      <c r="J31" s="146">
        <f t="shared" si="29"/>
        <v>0.11046</v>
      </c>
      <c r="K31" s="145">
        <f t="shared" si="30"/>
        <v>10000</v>
      </c>
      <c r="L31" s="146">
        <f t="shared" si="31"/>
        <v>8.3940000000000001E-2</v>
      </c>
      <c r="M31" s="144">
        <f t="shared" si="42"/>
        <v>0</v>
      </c>
      <c r="N31" s="144">
        <f t="shared" si="42"/>
        <v>0</v>
      </c>
      <c r="O31" s="139"/>
      <c r="P31" s="147">
        <f t="shared" si="32"/>
        <v>10.673351389608515</v>
      </c>
      <c r="Q31" s="147">
        <f t="shared" si="33"/>
        <v>10.673351389608515</v>
      </c>
      <c r="R31" s="139"/>
      <c r="S31" s="148">
        <f t="shared" si="34"/>
        <v>1.7818616677142757E-2</v>
      </c>
      <c r="T31" s="148">
        <f t="shared" si="24"/>
        <v>0.26727925015714143</v>
      </c>
      <c r="U31" s="139"/>
      <c r="V31" s="139"/>
      <c r="W31" s="149">
        <f t="shared" si="35"/>
        <v>3.5</v>
      </c>
      <c r="X31" s="139"/>
      <c r="Y31" s="150">
        <f t="shared" si="36"/>
        <v>-0.02</v>
      </c>
      <c r="Z31" s="139"/>
      <c r="AA31" s="151">
        <f t="shared" si="37"/>
        <v>14</v>
      </c>
      <c r="AB31" s="139"/>
      <c r="AC31" s="150">
        <f t="shared" si="38"/>
        <v>0.2</v>
      </c>
      <c r="AD31" s="139"/>
      <c r="AE31" s="144">
        <f t="shared" si="58"/>
        <v>0.85</v>
      </c>
    </row>
    <row r="32" spans="1:31">
      <c r="A32" s="81">
        <f t="shared" si="25"/>
        <v>2049</v>
      </c>
      <c r="C32" s="144">
        <f t="shared" si="26"/>
        <v>0.21</v>
      </c>
      <c r="D32" s="145">
        <f t="shared" si="27"/>
        <v>2494</v>
      </c>
      <c r="E32" s="145">
        <f t="shared" si="27"/>
        <v>15</v>
      </c>
      <c r="F32" s="145">
        <f t="shared" ref="F32" si="64">F31</f>
        <v>20</v>
      </c>
      <c r="G32" s="139"/>
      <c r="H32" s="144">
        <f t="shared" si="41"/>
        <v>2.5000000000000001E-2</v>
      </c>
      <c r="I32" s="139"/>
      <c r="J32" s="146">
        <f t="shared" si="29"/>
        <v>0.11046</v>
      </c>
      <c r="K32" s="145">
        <f t="shared" si="30"/>
        <v>10000</v>
      </c>
      <c r="L32" s="146">
        <f t="shared" si="31"/>
        <v>8.3940000000000001E-2</v>
      </c>
      <c r="M32" s="144">
        <f t="shared" si="42"/>
        <v>0</v>
      </c>
      <c r="N32" s="144">
        <f t="shared" si="42"/>
        <v>0</v>
      </c>
      <c r="O32" s="139"/>
      <c r="P32" s="147">
        <f t="shared" si="32"/>
        <v>10.940185174348727</v>
      </c>
      <c r="Q32" s="147">
        <f t="shared" si="33"/>
        <v>10.940185174348727</v>
      </c>
      <c r="R32" s="139"/>
      <c r="S32" s="148">
        <f t="shared" si="34"/>
        <v>1.8264082094071325E-2</v>
      </c>
      <c r="T32" s="148">
        <f t="shared" si="24"/>
        <v>0.27396123141106993</v>
      </c>
      <c r="U32" s="139"/>
      <c r="V32" s="139"/>
      <c r="W32" s="149">
        <f t="shared" si="35"/>
        <v>3.5</v>
      </c>
      <c r="X32" s="139"/>
      <c r="Y32" s="150">
        <f t="shared" si="36"/>
        <v>-0.02</v>
      </c>
      <c r="Z32" s="139"/>
      <c r="AA32" s="151">
        <f t="shared" si="37"/>
        <v>14</v>
      </c>
      <c r="AB32" s="139"/>
      <c r="AC32" s="150">
        <f t="shared" si="38"/>
        <v>0.2</v>
      </c>
      <c r="AD32" s="139"/>
      <c r="AE32" s="144">
        <f t="shared" si="58"/>
        <v>0.85</v>
      </c>
    </row>
    <row r="33" spans="1:31">
      <c r="A33" s="81">
        <f t="shared" si="25"/>
        <v>2050</v>
      </c>
      <c r="C33" s="144">
        <f t="shared" si="26"/>
        <v>0.21</v>
      </c>
      <c r="D33" s="145">
        <f t="shared" si="27"/>
        <v>2494</v>
      </c>
      <c r="E33" s="145">
        <f t="shared" si="27"/>
        <v>15</v>
      </c>
      <c r="F33" s="145">
        <f t="shared" ref="F33" si="65">F32</f>
        <v>20</v>
      </c>
      <c r="G33" s="139"/>
      <c r="H33" s="144">
        <f t="shared" si="41"/>
        <v>2.5000000000000001E-2</v>
      </c>
      <c r="I33" s="139"/>
      <c r="J33" s="146">
        <f t="shared" si="29"/>
        <v>0.11046</v>
      </c>
      <c r="K33" s="145">
        <f t="shared" si="30"/>
        <v>10000</v>
      </c>
      <c r="L33" s="146">
        <f t="shared" si="31"/>
        <v>8.3940000000000001E-2</v>
      </c>
      <c r="M33" s="144">
        <f t="shared" si="42"/>
        <v>0</v>
      </c>
      <c r="N33" s="144">
        <f t="shared" si="42"/>
        <v>0</v>
      </c>
      <c r="O33" s="139"/>
      <c r="P33" s="147">
        <f t="shared" si="32"/>
        <v>11.213689803707444</v>
      </c>
      <c r="Q33" s="147">
        <f t="shared" si="33"/>
        <v>11.213689803707444</v>
      </c>
      <c r="R33" s="139"/>
      <c r="S33" s="148">
        <f t="shared" si="34"/>
        <v>1.8720684146423108E-2</v>
      </c>
      <c r="T33" s="148">
        <f t="shared" si="24"/>
        <v>0.28081026219634664</v>
      </c>
      <c r="U33" s="139"/>
      <c r="V33" s="139"/>
      <c r="W33" s="149">
        <f t="shared" si="35"/>
        <v>3.5</v>
      </c>
      <c r="X33" s="139"/>
      <c r="Y33" s="150">
        <f t="shared" si="36"/>
        <v>-0.02</v>
      </c>
      <c r="Z33" s="139"/>
      <c r="AA33" s="151">
        <f t="shared" si="37"/>
        <v>14</v>
      </c>
      <c r="AB33" s="139"/>
      <c r="AC33" s="150">
        <f t="shared" si="38"/>
        <v>0.2</v>
      </c>
      <c r="AD33" s="139"/>
      <c r="AE33" s="144">
        <f t="shared" si="58"/>
        <v>0.85</v>
      </c>
    </row>
    <row r="34" spans="1:31">
      <c r="A34" s="81">
        <f t="shared" si="25"/>
        <v>2051</v>
      </c>
      <c r="C34" s="144">
        <f t="shared" si="26"/>
        <v>0.21</v>
      </c>
      <c r="D34" s="145">
        <f t="shared" si="27"/>
        <v>2494</v>
      </c>
      <c r="E34" s="145">
        <f t="shared" si="27"/>
        <v>15</v>
      </c>
      <c r="F34" s="145">
        <f t="shared" ref="F34" si="66">F33</f>
        <v>20</v>
      </c>
      <c r="G34" s="139"/>
      <c r="H34" s="144">
        <f t="shared" si="41"/>
        <v>2.5000000000000001E-2</v>
      </c>
      <c r="I34" s="139"/>
      <c r="J34" s="146">
        <f t="shared" si="29"/>
        <v>0.11046</v>
      </c>
      <c r="K34" s="145">
        <f t="shared" si="30"/>
        <v>10000</v>
      </c>
      <c r="L34" s="146">
        <f t="shared" si="31"/>
        <v>8.3940000000000001E-2</v>
      </c>
      <c r="M34" s="144">
        <f t="shared" si="42"/>
        <v>0</v>
      </c>
      <c r="N34" s="144">
        <f t="shared" si="42"/>
        <v>0</v>
      </c>
      <c r="O34" s="139"/>
      <c r="P34" s="147">
        <f t="shared" si="32"/>
        <v>11.494032048800129</v>
      </c>
      <c r="Q34" s="147">
        <f t="shared" si="33"/>
        <v>11.494032048800129</v>
      </c>
      <c r="R34" s="139"/>
      <c r="S34" s="148">
        <f t="shared" si="34"/>
        <v>1.9188701250083682E-2</v>
      </c>
      <c r="T34" s="148">
        <f t="shared" si="24"/>
        <v>0.28783051875125526</v>
      </c>
      <c r="U34" s="139"/>
      <c r="V34" s="139"/>
      <c r="W34" s="149">
        <f t="shared" si="35"/>
        <v>3.5</v>
      </c>
      <c r="X34" s="139"/>
      <c r="Y34" s="150">
        <f t="shared" si="36"/>
        <v>-0.02</v>
      </c>
      <c r="Z34" s="139"/>
      <c r="AA34" s="151">
        <f t="shared" si="37"/>
        <v>14</v>
      </c>
      <c r="AB34" s="139"/>
      <c r="AC34" s="150">
        <f t="shared" si="38"/>
        <v>0.2</v>
      </c>
      <c r="AD34" s="139"/>
      <c r="AE34" s="144">
        <f t="shared" si="58"/>
        <v>0.85</v>
      </c>
    </row>
    <row r="35" spans="1:31">
      <c r="A35" s="81">
        <f t="shared" si="25"/>
        <v>2052</v>
      </c>
      <c r="C35" s="144">
        <f t="shared" si="26"/>
        <v>0.21</v>
      </c>
      <c r="D35" s="145">
        <f t="shared" si="27"/>
        <v>2494</v>
      </c>
      <c r="E35" s="145">
        <f t="shared" si="27"/>
        <v>15</v>
      </c>
      <c r="F35" s="145">
        <f t="shared" ref="F35" si="67">F34</f>
        <v>20</v>
      </c>
      <c r="G35" s="139"/>
      <c r="H35" s="144">
        <f t="shared" si="41"/>
        <v>2.5000000000000001E-2</v>
      </c>
      <c r="I35" s="139"/>
      <c r="J35" s="146">
        <f t="shared" si="29"/>
        <v>0.11046</v>
      </c>
      <c r="K35" s="145">
        <f t="shared" si="30"/>
        <v>10000</v>
      </c>
      <c r="L35" s="146">
        <f t="shared" si="31"/>
        <v>8.3940000000000001E-2</v>
      </c>
      <c r="M35" s="144">
        <f t="shared" si="42"/>
        <v>0</v>
      </c>
      <c r="N35" s="144">
        <f t="shared" si="42"/>
        <v>0</v>
      </c>
      <c r="O35" s="139"/>
      <c r="P35" s="147">
        <f t="shared" si="32"/>
        <v>11.781382850020131</v>
      </c>
      <c r="Q35" s="147">
        <f t="shared" si="33"/>
        <v>11.781382850020131</v>
      </c>
      <c r="R35" s="139"/>
      <c r="S35" s="148">
        <f t="shared" si="34"/>
        <v>1.9668418781335774E-2</v>
      </c>
      <c r="T35" s="148">
        <f t="shared" si="24"/>
        <v>0.29502628172003664</v>
      </c>
      <c r="U35" s="139"/>
      <c r="V35" s="139"/>
      <c r="W35" s="149">
        <f t="shared" si="35"/>
        <v>3.5</v>
      </c>
      <c r="X35" s="139"/>
      <c r="Y35" s="150">
        <f t="shared" si="36"/>
        <v>-0.02</v>
      </c>
      <c r="Z35" s="139"/>
      <c r="AA35" s="151">
        <f t="shared" si="37"/>
        <v>14</v>
      </c>
      <c r="AB35" s="139"/>
      <c r="AC35" s="150">
        <f t="shared" si="38"/>
        <v>0.2</v>
      </c>
      <c r="AD35" s="139"/>
      <c r="AE35" s="144">
        <f t="shared" si="58"/>
        <v>0.85</v>
      </c>
    </row>
    <row r="36" spans="1:31">
      <c r="A36" s="81">
        <f t="shared" si="25"/>
        <v>2053</v>
      </c>
      <c r="C36" s="144">
        <f t="shared" si="26"/>
        <v>0.21</v>
      </c>
      <c r="D36" s="145">
        <f t="shared" si="27"/>
        <v>2494</v>
      </c>
      <c r="E36" s="145">
        <f t="shared" si="27"/>
        <v>15</v>
      </c>
      <c r="F36" s="145">
        <f t="shared" ref="F36" si="68">F35</f>
        <v>20</v>
      </c>
      <c r="G36" s="139"/>
      <c r="H36" s="144">
        <f t="shared" si="41"/>
        <v>2.5000000000000001E-2</v>
      </c>
      <c r="I36" s="139"/>
      <c r="J36" s="146">
        <f t="shared" si="29"/>
        <v>0.11046</v>
      </c>
      <c r="K36" s="145">
        <f t="shared" si="30"/>
        <v>10000</v>
      </c>
      <c r="L36" s="146">
        <f t="shared" si="31"/>
        <v>8.3940000000000001E-2</v>
      </c>
      <c r="M36" s="144">
        <f t="shared" si="42"/>
        <v>0</v>
      </c>
      <c r="N36" s="144">
        <f t="shared" si="42"/>
        <v>0</v>
      </c>
      <c r="O36" s="139"/>
      <c r="P36" s="147">
        <f t="shared" si="32"/>
        <v>12.075917421270633</v>
      </c>
      <c r="Q36" s="147">
        <f t="shared" si="33"/>
        <v>12.075917421270633</v>
      </c>
      <c r="R36" s="139"/>
      <c r="S36" s="148">
        <f t="shared" si="34"/>
        <v>2.0160129250869168E-2</v>
      </c>
      <c r="T36" s="148">
        <f t="shared" si="24"/>
        <v>0.30240193876303756</v>
      </c>
      <c r="U36" s="139"/>
      <c r="V36" s="139"/>
      <c r="W36" s="149">
        <f t="shared" si="35"/>
        <v>3.5</v>
      </c>
      <c r="X36" s="139"/>
      <c r="Y36" s="150">
        <f t="shared" si="36"/>
        <v>-0.02</v>
      </c>
      <c r="Z36" s="139"/>
      <c r="AA36" s="151">
        <f t="shared" si="37"/>
        <v>14</v>
      </c>
      <c r="AB36" s="139"/>
      <c r="AC36" s="150">
        <f t="shared" si="38"/>
        <v>0.2</v>
      </c>
      <c r="AD36" s="139"/>
      <c r="AE36" s="144">
        <f t="shared" si="58"/>
        <v>0.85</v>
      </c>
    </row>
    <row r="39" spans="1:31">
      <c r="AA39" s="191"/>
      <c r="AB39" s="192"/>
      <c r="AC39" s="193" t="s">
        <v>494</v>
      </c>
      <c r="AD39" s="192"/>
      <c r="AE39" s="194"/>
    </row>
    <row r="40" spans="1:31">
      <c r="B40" s="61"/>
      <c r="G40" s="61"/>
      <c r="I40" s="61"/>
      <c r="L40" s="61"/>
      <c r="O40" s="61"/>
      <c r="R40" s="61"/>
      <c r="U40" s="61"/>
      <c r="V40" s="61"/>
      <c r="X40" s="61"/>
      <c r="Z40" s="61"/>
      <c r="AB40" s="61"/>
      <c r="AD40" s="61"/>
    </row>
    <row r="41" spans="1:31">
      <c r="B41" s="61"/>
      <c r="G41" s="61"/>
      <c r="I41" s="61"/>
      <c r="L41" s="61"/>
      <c r="O41" s="61"/>
      <c r="R41" s="61"/>
      <c r="U41" s="61"/>
      <c r="V41" s="61"/>
      <c r="X41" s="61"/>
      <c r="Z41" s="61"/>
      <c r="AB41" s="61"/>
      <c r="AD41" s="61"/>
    </row>
    <row r="42" spans="1:31">
      <c r="B42" s="61"/>
      <c r="G42" s="61"/>
      <c r="I42" s="61"/>
      <c r="L42" s="61"/>
      <c r="O42" s="61"/>
      <c r="R42" s="61"/>
      <c r="U42" s="61"/>
      <c r="V42" s="61"/>
      <c r="X42" s="61"/>
      <c r="Z42" s="61"/>
      <c r="AB42" s="61"/>
      <c r="AD42" s="61"/>
    </row>
    <row r="43" spans="1:31">
      <c r="B43" s="61"/>
      <c r="G43" s="61"/>
      <c r="I43" s="61"/>
      <c r="L43" s="61"/>
      <c r="O43" s="61"/>
      <c r="R43" s="61"/>
      <c r="U43" s="61"/>
      <c r="V43" s="61"/>
      <c r="X43" s="61"/>
      <c r="Z43" s="61"/>
      <c r="AB43" s="61"/>
      <c r="AD43" s="61"/>
    </row>
    <row r="44" spans="1:31">
      <c r="B44" s="61"/>
      <c r="G44" s="61"/>
      <c r="I44" s="61"/>
      <c r="L44" s="61"/>
      <c r="O44" s="61"/>
      <c r="R44" s="61"/>
      <c r="U44" s="61"/>
      <c r="V44" s="61"/>
      <c r="X44" s="61"/>
      <c r="Z44" s="61"/>
      <c r="AB44" s="61"/>
      <c r="AD44" s="61"/>
    </row>
    <row r="45" spans="1:31">
      <c r="B45" s="61"/>
      <c r="G45" s="61"/>
      <c r="I45" s="61"/>
      <c r="L45" s="61"/>
      <c r="O45" s="61"/>
      <c r="R45" s="61"/>
      <c r="U45" s="61"/>
      <c r="V45" s="61"/>
      <c r="X45" s="61"/>
      <c r="Z45" s="61"/>
      <c r="AB45" s="61"/>
      <c r="AD45" s="61"/>
    </row>
    <row r="46" spans="1:31">
      <c r="B46" s="61"/>
      <c r="G46" s="61"/>
      <c r="I46" s="61"/>
      <c r="L46" s="61"/>
      <c r="O46" s="61"/>
      <c r="R46" s="61"/>
      <c r="U46" s="61"/>
      <c r="V46" s="61"/>
      <c r="X46" s="61"/>
      <c r="Z46" s="61"/>
      <c r="AB46" s="61"/>
      <c r="AD46" s="61"/>
    </row>
    <row r="47" spans="1:31">
      <c r="B47" s="61"/>
      <c r="G47" s="61"/>
      <c r="I47" s="61"/>
      <c r="L47" s="61"/>
      <c r="O47" s="61"/>
      <c r="R47" s="61"/>
      <c r="U47" s="61"/>
      <c r="V47" s="61"/>
      <c r="X47" s="61"/>
      <c r="Z47" s="61"/>
      <c r="AB47" s="61"/>
      <c r="AD47" s="61"/>
    </row>
    <row r="48" spans="1:31">
      <c r="B48" s="61"/>
      <c r="G48" s="61"/>
      <c r="I48" s="61"/>
      <c r="L48" s="61"/>
      <c r="O48" s="61"/>
      <c r="R48" s="61"/>
      <c r="U48" s="61"/>
      <c r="V48" s="61"/>
      <c r="X48" s="61"/>
      <c r="Z48" s="61"/>
      <c r="AB48" s="61"/>
      <c r="AD48" s="61"/>
    </row>
    <row r="49" spans="2:30">
      <c r="B49" s="61"/>
      <c r="G49" s="61"/>
      <c r="I49" s="61"/>
      <c r="L49" s="61"/>
      <c r="O49" s="61"/>
      <c r="R49" s="61"/>
      <c r="U49" s="61"/>
      <c r="V49" s="61"/>
      <c r="X49" s="61"/>
      <c r="Z49" s="61"/>
      <c r="AB49" s="61"/>
      <c r="AD49" s="61"/>
    </row>
    <row r="50" spans="2:30">
      <c r="B50" s="61"/>
      <c r="G50" s="61"/>
      <c r="I50" s="61"/>
      <c r="L50" s="61"/>
      <c r="O50" s="61"/>
      <c r="R50" s="61"/>
      <c r="U50" s="61"/>
      <c r="V50" s="61"/>
      <c r="X50" s="61"/>
      <c r="Z50" s="61"/>
      <c r="AB50" s="61"/>
      <c r="AD50" s="61"/>
    </row>
    <row r="51" spans="2:30">
      <c r="B51" s="61"/>
      <c r="G51" s="61"/>
      <c r="I51" s="61"/>
      <c r="L51" s="61"/>
      <c r="O51" s="61"/>
      <c r="R51" s="61"/>
      <c r="U51" s="61"/>
      <c r="V51" s="61"/>
      <c r="X51" s="61"/>
      <c r="Z51" s="61"/>
      <c r="AB51" s="61"/>
      <c r="AD51" s="61"/>
    </row>
    <row r="52" spans="2:30">
      <c r="B52" s="61"/>
      <c r="G52" s="61"/>
      <c r="I52" s="61"/>
      <c r="L52" s="61"/>
      <c r="O52" s="61"/>
      <c r="R52" s="61"/>
      <c r="U52" s="61"/>
      <c r="V52" s="61"/>
      <c r="X52" s="61"/>
      <c r="Z52" s="61"/>
      <c r="AB52" s="61"/>
      <c r="AD52" s="61"/>
    </row>
    <row r="53" spans="2:30">
      <c r="B53" s="61"/>
      <c r="G53" s="61"/>
      <c r="I53" s="61"/>
      <c r="L53" s="61"/>
      <c r="O53" s="61"/>
      <c r="R53" s="61"/>
      <c r="U53" s="61"/>
      <c r="V53" s="61"/>
      <c r="X53" s="61"/>
      <c r="Z53" s="61"/>
      <c r="AB53" s="61"/>
      <c r="AD53" s="61"/>
    </row>
    <row r="54" spans="2:30">
      <c r="B54" s="61"/>
      <c r="G54" s="61"/>
      <c r="I54" s="61"/>
      <c r="L54" s="61"/>
      <c r="O54" s="61"/>
      <c r="R54" s="61"/>
      <c r="U54" s="61"/>
      <c r="V54" s="61"/>
      <c r="X54" s="61"/>
      <c r="Z54" s="61"/>
      <c r="AB54" s="61"/>
      <c r="AD54" s="61"/>
    </row>
    <row r="55" spans="2:30">
      <c r="B55" s="61"/>
      <c r="G55" s="61"/>
      <c r="I55" s="61"/>
      <c r="L55" s="61"/>
      <c r="O55" s="61"/>
      <c r="R55" s="61"/>
      <c r="U55" s="61"/>
      <c r="V55" s="61"/>
      <c r="X55" s="61"/>
      <c r="Z55" s="61"/>
      <c r="AB55" s="61"/>
      <c r="AD55" s="61"/>
    </row>
    <row r="56" spans="2:30">
      <c r="B56" s="61"/>
      <c r="G56" s="61"/>
      <c r="I56" s="61"/>
      <c r="L56" s="61"/>
      <c r="O56" s="61"/>
      <c r="R56" s="61"/>
      <c r="U56" s="61"/>
      <c r="V56" s="61"/>
      <c r="X56" s="61"/>
      <c r="Z56" s="61"/>
      <c r="AB56" s="61"/>
      <c r="AD56" s="61"/>
    </row>
    <row r="57" spans="2:30">
      <c r="B57" s="61"/>
      <c r="G57" s="61"/>
      <c r="I57" s="61"/>
      <c r="L57" s="61"/>
      <c r="O57" s="61"/>
      <c r="R57" s="61"/>
      <c r="U57" s="61"/>
      <c r="V57" s="61"/>
      <c r="X57" s="61"/>
      <c r="Z57" s="61"/>
      <c r="AB57" s="61"/>
      <c r="AD57" s="61"/>
    </row>
    <row r="58" spans="2:30">
      <c r="B58" s="61"/>
      <c r="G58" s="61"/>
      <c r="I58" s="61"/>
      <c r="L58" s="61"/>
      <c r="O58" s="61"/>
      <c r="R58" s="61"/>
      <c r="U58" s="61"/>
      <c r="V58" s="61"/>
      <c r="X58" s="61"/>
      <c r="Z58" s="61"/>
      <c r="AB58" s="61"/>
      <c r="AD58" s="61"/>
    </row>
  </sheetData>
  <conditionalFormatting sqref="C9:F36">
    <cfRule type="expression" dxfId="25" priority="5">
      <formula>C9=C8</formula>
    </cfRule>
    <cfRule type="expression" dxfId="24" priority="6">
      <formula>C9&lt;&gt;C8</formula>
    </cfRule>
  </conditionalFormatting>
  <conditionalFormatting sqref="H9:H36">
    <cfRule type="expression" dxfId="23" priority="49">
      <formula>H9=H8</formula>
    </cfRule>
    <cfRule type="expression" dxfId="22" priority="50">
      <formula>H9&lt;&gt;H8</formula>
    </cfRule>
  </conditionalFormatting>
  <conditionalFormatting sqref="J9:J36">
    <cfRule type="expression" dxfId="21" priority="48">
      <formula>J9=J8*(1+$M8)</formula>
    </cfRule>
    <cfRule type="expression" dxfId="20" priority="47">
      <formula>J9&lt;&gt;J8*(1+$M8)</formula>
    </cfRule>
  </conditionalFormatting>
  <conditionalFormatting sqref="K9:K36">
    <cfRule type="expression" dxfId="19" priority="46">
      <formula>K9&lt;&gt;K8</formula>
    </cfRule>
    <cfRule type="expression" dxfId="18" priority="29">
      <formula>K9=K8</formula>
    </cfRule>
  </conditionalFormatting>
  <conditionalFormatting sqref="L9:L36">
    <cfRule type="expression" dxfId="17" priority="28">
      <formula>L9=L8*(1+$M8)</formula>
    </cfRule>
    <cfRule type="expression" dxfId="16" priority="27">
      <formula>L9&lt;&gt;L8*(1+$M8)</formula>
    </cfRule>
  </conditionalFormatting>
  <conditionalFormatting sqref="M9:N36">
    <cfRule type="expression" dxfId="15" priority="26">
      <formula>M9&lt;&gt;M8</formula>
    </cfRule>
    <cfRule type="expression" dxfId="14" priority="25">
      <formula>M9=M8</formula>
    </cfRule>
  </conditionalFormatting>
  <conditionalFormatting sqref="P9:Q36">
    <cfRule type="expression" dxfId="13" priority="21">
      <formula>P9=P8*(1+$H8)</formula>
    </cfRule>
    <cfRule type="expression" dxfId="12" priority="22">
      <formula>P9&lt;&gt;P8*(1+$H8)</formula>
    </cfRule>
  </conditionalFormatting>
  <conditionalFormatting sqref="S9:T36">
    <cfRule type="expression" dxfId="11" priority="1">
      <formula>S9=S8*(1+$H8)</formula>
    </cfRule>
    <cfRule type="expression" dxfId="10" priority="2">
      <formula>S9&lt;&gt;S8*(1+$H8)</formula>
    </cfRule>
  </conditionalFormatting>
  <conditionalFormatting sqref="W9:W36">
    <cfRule type="expression" dxfId="9" priority="15">
      <formula>W9=W8</formula>
    </cfRule>
    <cfRule type="expression" dxfId="8" priority="16">
      <formula>W9&lt;&gt;W8</formula>
    </cfRule>
  </conditionalFormatting>
  <conditionalFormatting sqref="Y9:Y36">
    <cfRule type="expression" dxfId="7" priority="14">
      <formula>Y9&lt;&gt;Y8</formula>
    </cfRule>
    <cfRule type="expression" dxfId="6" priority="13">
      <formula>Y9=Y8</formula>
    </cfRule>
  </conditionalFormatting>
  <conditionalFormatting sqref="AA9:AA36">
    <cfRule type="expression" dxfId="5" priority="12">
      <formula>AA9&lt;&gt;AA8</formula>
    </cfRule>
    <cfRule type="expression" dxfId="4" priority="11">
      <formula>AA9=AA8</formula>
    </cfRule>
  </conditionalFormatting>
  <conditionalFormatting sqref="AC9:AC36">
    <cfRule type="expression" dxfId="3" priority="10">
      <formula>AC9&lt;&gt;AC8</formula>
    </cfRule>
    <cfRule type="expression" dxfId="2" priority="9">
      <formula>AC9=AC8</formula>
    </cfRule>
  </conditionalFormatting>
  <conditionalFormatting sqref="AE9:AE36">
    <cfRule type="expression" dxfId="1" priority="8">
      <formula>AE9&lt;&gt;AE8</formula>
    </cfRule>
    <cfRule type="expression" dxfId="0" priority="7">
      <formula>AE9=AE8</formula>
    </cfRule>
  </conditionalFormatting>
  <printOptions gridLines="1"/>
  <pageMargins left="0.70866141732283472" right="0.70866141732283472" top="0.74803149606299213" bottom="0.74803149606299213" header="0.31496062992125984" footer="0.31496062992125984"/>
  <pageSetup paperSize="9" scale="52"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27FE4-79F9-4EEE-92A6-1A7588F1A59B}">
  <dimension ref="A3:AB122"/>
  <sheetViews>
    <sheetView topLeftCell="A88" zoomScaleNormal="100" workbookViewId="0">
      <selection activeCell="V11" sqref="V11"/>
    </sheetView>
  </sheetViews>
  <sheetFormatPr baseColWidth="10" defaultColWidth="8.83203125" defaultRowHeight="16"/>
  <cols>
    <col min="1" max="1" width="11" customWidth="1"/>
    <col min="6" max="6" width="3.6640625" customWidth="1"/>
    <col min="9" max="9" width="2.83203125" customWidth="1"/>
    <col min="16" max="19" width="3.83203125" customWidth="1"/>
    <col min="20" max="20" width="9.6640625" bestFit="1" customWidth="1"/>
    <col min="21" max="21" width="9.6640625" customWidth="1"/>
    <col min="23" max="23" width="17.5" customWidth="1"/>
    <col min="24" max="24" width="8.83203125" style="12"/>
  </cols>
  <sheetData>
    <row r="3" spans="1:24">
      <c r="A3" s="47"/>
      <c r="B3" s="54"/>
      <c r="C3" s="72" t="s">
        <v>307</v>
      </c>
      <c r="D3" s="61">
        <f ca="1">IF(D13="nee",0,VLOOKUP(Jaargegevens!$E$5,Stamgegevens!$A$8:$AE$36,Stamgegevens!$C$1))</f>
        <v>0.21</v>
      </c>
      <c r="E3" s="61">
        <f ca="1">IF(D3=0,0,D3/(1+D3))</f>
        <v>0.17355371900826447</v>
      </c>
      <c r="F3" s="48"/>
      <c r="G3" s="49"/>
      <c r="H3" s="55" t="s">
        <v>477</v>
      </c>
      <c r="I3" s="48"/>
      <c r="J3" s="181" t="s">
        <v>455</v>
      </c>
      <c r="K3" s="61"/>
      <c r="L3" s="61"/>
      <c r="M3" s="49"/>
      <c r="O3" s="61"/>
    </row>
    <row r="4" spans="1:24">
      <c r="A4" s="47"/>
      <c r="B4" s="57"/>
      <c r="C4" s="51"/>
      <c r="D4" s="52"/>
      <c r="E4" s="51"/>
      <c r="F4" s="48"/>
      <c r="G4" s="49"/>
      <c r="H4" s="49"/>
      <c r="I4" s="48"/>
      <c r="J4" s="47"/>
      <c r="K4" s="47"/>
      <c r="L4" s="47"/>
      <c r="M4" s="49"/>
      <c r="O4" s="47"/>
    </row>
    <row r="5" spans="1:24">
      <c r="C5" s="72" t="s">
        <v>486</v>
      </c>
      <c r="D5" s="45">
        <f>VLOOKUP(Calculator!M90,Producten!$H$7:$AA$1007,18,FALSE)</f>
        <v>13999</v>
      </c>
      <c r="E5" s="45">
        <f ca="1">ROUND(D5*E3,0)</f>
        <v>2430</v>
      </c>
      <c r="F5" s="45"/>
      <c r="G5" s="49"/>
      <c r="H5" s="187" t="s">
        <v>475</v>
      </c>
      <c r="J5" s="160" t="str">
        <f ca="1">CONCATENATE("Maximaal € ",E9,CONCATENATE(" minus € ",E11," per kWh capaciteit (€ ",D21,")."))</f>
        <v>Maximaal € 2494 minus € 15 per kWh capaciteit (€ 328).</v>
      </c>
    </row>
    <row r="6" spans="1:24">
      <c r="F6" s="48"/>
      <c r="G6" s="49"/>
      <c r="H6" s="57"/>
      <c r="I6" s="45"/>
      <c r="J6" t="str">
        <f ca="1">IF(D26=0,"","1e jaar : ")</f>
        <v/>
      </c>
      <c r="K6" t="str">
        <f ca="1">IF(H26=0,"","1e jaar : ")</f>
        <v xml:space="preserve">1e jaar : </v>
      </c>
      <c r="T6" t="s">
        <v>435</v>
      </c>
    </row>
    <row r="7" spans="1:24">
      <c r="A7" s="61"/>
      <c r="B7" s="57"/>
      <c r="C7" s="72" t="s">
        <v>487</v>
      </c>
      <c r="D7" s="45">
        <f>Calculator!R125+Calculator!R127</f>
        <v>14999</v>
      </c>
      <c r="E7" s="45">
        <f ca="1">ROUND(D7*E3,0)</f>
        <v>2603</v>
      </c>
      <c r="F7" s="48"/>
      <c r="G7" s="55"/>
      <c r="H7" s="187" t="s">
        <v>476</v>
      </c>
      <c r="I7" s="45"/>
      <c r="J7" s="160" t="str">
        <f ca="1">CONCATENATE("€ ",D19,CONCATENATE(" minus € ",E11," per kWh capaciteit (€ ",D21,")."))</f>
        <v>€ 2430 minus € 15 per kWh capaciteit (€ 328).</v>
      </c>
      <c r="T7" s="173" t="s">
        <v>434</v>
      </c>
      <c r="U7" s="173" t="s">
        <v>304</v>
      </c>
      <c r="V7" s="173" t="s">
        <v>428</v>
      </c>
      <c r="W7" s="173" t="s">
        <v>436</v>
      </c>
    </row>
    <row r="8" spans="1:24">
      <c r="A8" s="47"/>
      <c r="B8" s="57"/>
      <c r="F8" s="48"/>
      <c r="G8" s="55"/>
      <c r="H8" s="57"/>
      <c r="I8" s="45"/>
      <c r="T8" s="159" t="str">
        <f>Calculator!R137</f>
        <v>Particulier</v>
      </c>
      <c r="U8" s="159" t="str">
        <f>Calculator!R139</f>
        <v>Ja</v>
      </c>
      <c r="V8" s="159" t="str">
        <f>Calculator!R141</f>
        <v>Nee</v>
      </c>
      <c r="W8" s="159" t="str">
        <f>T8&amp;U8&amp;V8</f>
        <v>ParticulierJaNee</v>
      </c>
      <c r="X8" s="12">
        <v>0</v>
      </c>
    </row>
    <row r="9" spans="1:24">
      <c r="A9" s="61"/>
      <c r="B9" s="48"/>
      <c r="C9" s="72" t="s">
        <v>308</v>
      </c>
      <c r="D9" s="45">
        <f ca="1">VLOOKUP(Jaargegevens!$E$5,Stamgegevens!$A$8:$AE$36,Stamgegevens!$D$1)</f>
        <v>2494</v>
      </c>
      <c r="E9" s="45">
        <f ca="1">IF(D3=0,0,D9)</f>
        <v>2494</v>
      </c>
      <c r="F9" s="48"/>
      <c r="G9" s="49"/>
      <c r="H9" s="187" t="s">
        <v>488</v>
      </c>
      <c r="J9" t="str">
        <f ca="1">CONCATENATE("1e jaar : € ",L19," minus af te dragen BTW teruglevering € ",L21," (schatting).")</f>
        <v>1e jaar : € 2603 minus af te dragen BTW teruglevering € 328 (schatting).</v>
      </c>
    </row>
    <row r="10" spans="1:24">
      <c r="A10" s="61"/>
      <c r="B10" s="48"/>
      <c r="C10" s="72"/>
      <c r="D10" s="52"/>
      <c r="E10" s="59"/>
      <c r="F10" s="48"/>
      <c r="G10" s="49"/>
      <c r="H10" s="49"/>
      <c r="I10" s="48"/>
      <c r="T10" s="173" t="s">
        <v>29</v>
      </c>
      <c r="V10" s="159">
        <f ca="1">IF(T8="Zakelijk",Calculator!S144,IF(D38&lt;0,0,Calculator!S144))</f>
        <v>2102</v>
      </c>
    </row>
    <row r="11" spans="1:24">
      <c r="A11" s="61"/>
      <c r="B11" s="48"/>
      <c r="C11" s="72" t="s">
        <v>309</v>
      </c>
      <c r="D11" s="99">
        <f ca="1">VLOOKUP(Jaargegevens!$E$5,Stamgegevens!$A$8:$AE$36,Stamgegevens!$E$1)</f>
        <v>15</v>
      </c>
      <c r="E11" s="99">
        <f ca="1">IF(D3=0,0,D11)</f>
        <v>15</v>
      </c>
      <c r="F11" s="69"/>
      <c r="G11" s="69"/>
      <c r="H11" s="187" t="s">
        <v>489</v>
      </c>
      <c r="J11" t="str">
        <f ca="1">CONCATENATE("1e jaar : € ",H19," minus af te dragen BTW teruglevering € ",O21," (schatting).")</f>
        <v>1e jaar : € 2430 minus af te dragen BTW teruglevering € 328 (schatting).</v>
      </c>
      <c r="K11" s="66"/>
      <c r="L11" s="66"/>
      <c r="M11" s="54"/>
      <c r="O11" s="66"/>
      <c r="T11" s="173" t="s">
        <v>61</v>
      </c>
      <c r="V11" s="159">
        <f ca="1">IF(T8="Zakelijk",L21,IF(D38&lt;0,0,SUM(D21:D22)+D29))</f>
        <v>378</v>
      </c>
      <c r="W11" s="173" t="s">
        <v>438</v>
      </c>
      <c r="X11" s="417">
        <f ca="1">VLOOKUP(W8,W27:X34,2,FALSE)+Kosten!B6</f>
        <v>2025</v>
      </c>
    </row>
    <row r="12" spans="1:24">
      <c r="A12" s="61"/>
      <c r="B12" s="48"/>
      <c r="C12" s="44"/>
      <c r="D12" s="45"/>
      <c r="E12" s="46"/>
      <c r="T12" s="173" t="s">
        <v>560</v>
      </c>
      <c r="V12">
        <f ca="1">Kosten!J29</f>
        <v>2102</v>
      </c>
    </row>
    <row r="13" spans="1:24">
      <c r="A13" s="52"/>
      <c r="B13" s="48"/>
      <c r="C13" s="62" t="s">
        <v>319</v>
      </c>
      <c r="D13" s="108" t="str">
        <f>IF(T8="Zakelijk","ja",IF(Calculator!P114="Alleen zelfconsumptie","nee","ja"))</f>
        <v>ja</v>
      </c>
      <c r="E13" s="45"/>
      <c r="T13" t="s">
        <v>138</v>
      </c>
    </row>
    <row r="14" spans="1:24" s="156" customFormat="1">
      <c r="X14" s="418"/>
    </row>
    <row r="15" spans="1:24" s="156" customFormat="1">
      <c r="A15"/>
      <c r="B15"/>
      <c r="C15"/>
      <c r="D15"/>
      <c r="E15"/>
      <c r="F15"/>
      <c r="G15"/>
      <c r="H15"/>
      <c r="I15"/>
      <c r="J15"/>
      <c r="K15"/>
      <c r="L15"/>
      <c r="M15"/>
      <c r="O15"/>
    </row>
    <row r="16" spans="1:24">
      <c r="A16" s="156"/>
      <c r="B16" s="156"/>
      <c r="C16" s="156"/>
      <c r="D16" s="156" t="s">
        <v>395</v>
      </c>
      <c r="E16" s="156"/>
      <c r="F16" s="156"/>
      <c r="G16" s="156"/>
      <c r="H16" s="189" t="s">
        <v>490</v>
      </c>
      <c r="I16" s="156"/>
      <c r="J16" s="156"/>
      <c r="K16" s="156"/>
      <c r="L16" s="156" t="s">
        <v>394</v>
      </c>
      <c r="M16" s="156"/>
      <c r="N16" s="156"/>
      <c r="O16" s="156" t="s">
        <v>394</v>
      </c>
      <c r="T16" s="173" t="s">
        <v>434</v>
      </c>
      <c r="U16" s="173" t="s">
        <v>304</v>
      </c>
      <c r="V16" s="173" t="s">
        <v>428</v>
      </c>
      <c r="W16" s="173" t="s">
        <v>436</v>
      </c>
    </row>
    <row r="17" spans="1:28">
      <c r="A17" s="156"/>
      <c r="B17" s="156"/>
      <c r="C17" s="156"/>
      <c r="D17" s="156" t="s">
        <v>281</v>
      </c>
      <c r="E17" s="156"/>
      <c r="F17" s="156"/>
      <c r="G17" s="156"/>
      <c r="H17" s="156" t="s">
        <v>401</v>
      </c>
      <c r="I17" s="156"/>
      <c r="J17" s="156"/>
      <c r="K17" s="156"/>
      <c r="L17" s="156" t="s">
        <v>491</v>
      </c>
      <c r="M17" s="156"/>
      <c r="N17" s="156"/>
      <c r="O17" s="156" t="s">
        <v>632</v>
      </c>
      <c r="T17" t="s">
        <v>432</v>
      </c>
      <c r="U17" t="s">
        <v>52</v>
      </c>
      <c r="V17" t="s">
        <v>67</v>
      </c>
      <c r="W17" t="str">
        <f t="shared" ref="W17:W23" si="0">T17&amp;U17&amp;V17</f>
        <v>ParticulierJaNee</v>
      </c>
      <c r="X17" s="402">
        <f ca="1">D23</f>
        <v>2102</v>
      </c>
    </row>
    <row r="18" spans="1:28">
      <c r="T18" t="s">
        <v>432</v>
      </c>
      <c r="U18" t="s">
        <v>52</v>
      </c>
      <c r="V18" t="s">
        <v>52</v>
      </c>
      <c r="W18" t="str">
        <f t="shared" si="0"/>
        <v>ParticulierJaJa</v>
      </c>
      <c r="X18" s="402">
        <f ca="1">H23</f>
        <v>2102</v>
      </c>
    </row>
    <row r="19" spans="1:28">
      <c r="A19" t="s">
        <v>340</v>
      </c>
      <c r="D19" s="154">
        <f ca="1">E5</f>
        <v>2430</v>
      </c>
      <c r="E19" s="157"/>
      <c r="H19" s="154">
        <f ca="1">E5</f>
        <v>2430</v>
      </c>
      <c r="I19" s="157"/>
      <c r="L19" s="154">
        <f ca="1">E7</f>
        <v>2603</v>
      </c>
      <c r="O19" s="154">
        <f ca="1">L19</f>
        <v>2603</v>
      </c>
      <c r="T19" t="s">
        <v>432</v>
      </c>
      <c r="U19" t="s">
        <v>67</v>
      </c>
      <c r="V19" t="s">
        <v>67</v>
      </c>
      <c r="W19" t="str">
        <f t="shared" si="0"/>
        <v>ParticulierNeeNee</v>
      </c>
      <c r="X19" s="12">
        <v>0</v>
      </c>
    </row>
    <row r="20" spans="1:28">
      <c r="D20" s="158"/>
      <c r="H20" s="158"/>
      <c r="L20" s="158"/>
      <c r="O20" s="158"/>
      <c r="T20" t="s">
        <v>432</v>
      </c>
      <c r="U20" t="s">
        <v>67</v>
      </c>
      <c r="V20" t="s">
        <v>52</v>
      </c>
      <c r="W20" t="str">
        <f t="shared" si="0"/>
        <v>ParticulierNeeJa</v>
      </c>
      <c r="X20" s="12">
        <v>0</v>
      </c>
    </row>
    <row r="21" spans="1:28">
      <c r="A21" t="s">
        <v>397</v>
      </c>
      <c r="C21">
        <f>Calculator!R92</f>
        <v>21.85</v>
      </c>
      <c r="D21">
        <f ca="1">ROUND(C21*E11,0)</f>
        <v>328</v>
      </c>
      <c r="H21">
        <f ca="1">D21</f>
        <v>328</v>
      </c>
      <c r="L21">
        <f ca="1">H21</f>
        <v>328</v>
      </c>
      <c r="O21">
        <f ca="1">L21</f>
        <v>328</v>
      </c>
      <c r="T21" t="s">
        <v>433</v>
      </c>
      <c r="U21" t="s">
        <v>52</v>
      </c>
      <c r="V21" t="s">
        <v>52</v>
      </c>
      <c r="W21" t="str">
        <f t="shared" si="0"/>
        <v>ZakelijkJaJa</v>
      </c>
      <c r="X21" s="402">
        <f ca="1">H23</f>
        <v>2102</v>
      </c>
    </row>
    <row r="22" spans="1:28">
      <c r="D22" s="158" t="s">
        <v>398</v>
      </c>
      <c r="H22" s="158" t="s">
        <v>398</v>
      </c>
      <c r="L22" s="158" t="s">
        <v>398</v>
      </c>
      <c r="O22" s="158" t="s">
        <v>398</v>
      </c>
      <c r="T22" t="s">
        <v>433</v>
      </c>
      <c r="U22" t="s">
        <v>52</v>
      </c>
      <c r="V22" t="s">
        <v>67</v>
      </c>
      <c r="W22" t="str">
        <f t="shared" si="0"/>
        <v>ZakelijkJaNee</v>
      </c>
      <c r="X22" s="402">
        <f ca="1">L23</f>
        <v>2275</v>
      </c>
    </row>
    <row r="23" spans="1:28">
      <c r="A23" t="s">
        <v>399</v>
      </c>
      <c r="D23" s="159">
        <f ca="1">D19-D21</f>
        <v>2102</v>
      </c>
      <c r="H23" s="159">
        <f ca="1">H19-H21</f>
        <v>2102</v>
      </c>
      <c r="L23" s="159">
        <f ca="1">L19-L21</f>
        <v>2275</v>
      </c>
      <c r="O23" s="159">
        <f ca="1">O19-O21</f>
        <v>2275</v>
      </c>
      <c r="T23" t="s">
        <v>433</v>
      </c>
      <c r="U23" t="s">
        <v>67</v>
      </c>
      <c r="V23" t="s">
        <v>67</v>
      </c>
      <c r="W23" t="str">
        <f t="shared" si="0"/>
        <v>ZakelijkNeeNee</v>
      </c>
      <c r="X23" s="402">
        <v>0</v>
      </c>
    </row>
    <row r="24" spans="1:28">
      <c r="D24" s="158" t="s">
        <v>396</v>
      </c>
      <c r="H24" s="158" t="s">
        <v>396</v>
      </c>
      <c r="L24" s="158" t="s">
        <v>396</v>
      </c>
      <c r="O24" s="158" t="s">
        <v>396</v>
      </c>
      <c r="T24" t="s">
        <v>433</v>
      </c>
      <c r="U24" t="s">
        <v>67</v>
      </c>
      <c r="V24" t="s">
        <v>52</v>
      </c>
      <c r="W24" t="str">
        <f t="shared" ref="W24" si="1">T24&amp;U24&amp;V24</f>
        <v>ZakelijkNeeJa</v>
      </c>
      <c r="X24" s="12">
        <v>0</v>
      </c>
    </row>
    <row r="26" spans="1:28">
      <c r="A26" t="s">
        <v>400</v>
      </c>
      <c r="D26">
        <f ca="1">IF(E5&gt;E9,4,0)</f>
        <v>0</v>
      </c>
      <c r="H26">
        <f ca="1">IF(D13="nee",0,IF(E5&gt;E9,4,1))</f>
        <v>1</v>
      </c>
      <c r="L26" s="157">
        <v>19</v>
      </c>
      <c r="O26" s="157">
        <f ca="1">IF(E5&gt;E9,4,1)</f>
        <v>1</v>
      </c>
      <c r="T26" s="173" t="s">
        <v>434</v>
      </c>
      <c r="U26" s="173" t="s">
        <v>304</v>
      </c>
      <c r="V26" s="173" t="s">
        <v>428</v>
      </c>
      <c r="W26" s="173" t="s">
        <v>436</v>
      </c>
      <c r="X26" s="156"/>
    </row>
    <row r="27" spans="1:28">
      <c r="D27" s="158" t="s">
        <v>396</v>
      </c>
      <c r="H27" s="158" t="s">
        <v>396</v>
      </c>
      <c r="L27" s="158" t="s">
        <v>396</v>
      </c>
      <c r="O27" s="158" t="s">
        <v>396</v>
      </c>
      <c r="T27" t="s">
        <v>432</v>
      </c>
      <c r="U27" t="s">
        <v>52</v>
      </c>
      <c r="V27" t="s">
        <v>67</v>
      </c>
      <c r="W27" t="str">
        <f t="shared" ref="W27:W33" si="2">T27&amp;U27&amp;V27</f>
        <v>ParticulierJaNee</v>
      </c>
      <c r="X27" s="12">
        <f ca="1">D26</f>
        <v>0</v>
      </c>
    </row>
    <row r="28" spans="1:28">
      <c r="T28" t="s">
        <v>432</v>
      </c>
      <c r="U28" t="s">
        <v>52</v>
      </c>
      <c r="V28" t="s">
        <v>52</v>
      </c>
      <c r="W28" t="str">
        <f t="shared" si="2"/>
        <v>ParticulierJaJa</v>
      </c>
      <c r="X28" s="12">
        <f ca="1">H26</f>
        <v>1</v>
      </c>
    </row>
    <row r="29" spans="1:28">
      <c r="A29" t="s">
        <v>628</v>
      </c>
      <c r="D29">
        <v>50</v>
      </c>
      <c r="H29">
        <v>50</v>
      </c>
      <c r="L29">
        <v>0</v>
      </c>
      <c r="O29">
        <v>0</v>
      </c>
      <c r="T29" t="s">
        <v>432</v>
      </c>
      <c r="U29" t="s">
        <v>67</v>
      </c>
      <c r="V29" t="s">
        <v>67</v>
      </c>
      <c r="W29" t="str">
        <f t="shared" si="2"/>
        <v>ParticulierNeeNee</v>
      </c>
      <c r="X29" s="12">
        <v>0</v>
      </c>
      <c r="Y29" s="156"/>
      <c r="Z29" s="156"/>
      <c r="AA29" s="156"/>
      <c r="AB29" s="156"/>
    </row>
    <row r="30" spans="1:28">
      <c r="D30" s="158" t="s">
        <v>396</v>
      </c>
      <c r="H30" s="158" t="s">
        <v>396</v>
      </c>
      <c r="L30" s="158" t="s">
        <v>396</v>
      </c>
      <c r="O30" s="158" t="s">
        <v>396</v>
      </c>
      <c r="T30" t="s">
        <v>432</v>
      </c>
      <c r="U30" t="s">
        <v>67</v>
      </c>
      <c r="V30" t="s">
        <v>52</v>
      </c>
      <c r="W30" t="str">
        <f t="shared" si="2"/>
        <v>ParticulierNeeJa</v>
      </c>
      <c r="X30" s="12">
        <v>0</v>
      </c>
    </row>
    <row r="31" spans="1:28">
      <c r="T31" t="s">
        <v>433</v>
      </c>
      <c r="U31" t="s">
        <v>52</v>
      </c>
      <c r="V31" t="s">
        <v>52</v>
      </c>
      <c r="W31" t="str">
        <f t="shared" si="2"/>
        <v>ZakelijkJaJa</v>
      </c>
      <c r="X31" s="12">
        <f ca="1">H26</f>
        <v>1</v>
      </c>
    </row>
    <row r="32" spans="1:28">
      <c r="B32" s="188" t="s">
        <v>480</v>
      </c>
      <c r="C32" s="188"/>
      <c r="D32" s="188"/>
      <c r="E32" s="188"/>
      <c r="F32" s="188"/>
      <c r="G32" s="188"/>
      <c r="T32" t="s">
        <v>433</v>
      </c>
      <c r="U32" t="s">
        <v>52</v>
      </c>
      <c r="V32" t="s">
        <v>67</v>
      </c>
      <c r="W32" t="str">
        <f t="shared" si="2"/>
        <v>ZakelijkJaNee</v>
      </c>
      <c r="X32" s="12">
        <f>L26</f>
        <v>19</v>
      </c>
    </row>
    <row r="33" spans="1:24">
      <c r="B33" s="188" t="s">
        <v>479</v>
      </c>
      <c r="C33" s="188"/>
      <c r="D33" s="188"/>
      <c r="E33" s="188"/>
      <c r="F33" s="188"/>
      <c r="G33" s="188"/>
      <c r="T33" t="s">
        <v>433</v>
      </c>
      <c r="U33" t="s">
        <v>67</v>
      </c>
      <c r="V33" t="s">
        <v>67</v>
      </c>
      <c r="W33" t="str">
        <f t="shared" si="2"/>
        <v>ZakelijkNeeNee</v>
      </c>
      <c r="X33" s="12">
        <v>0</v>
      </c>
    </row>
    <row r="34" spans="1:24">
      <c r="B34" s="188" t="s">
        <v>481</v>
      </c>
      <c r="C34" s="188"/>
      <c r="D34" s="188"/>
      <c r="E34" s="188"/>
      <c r="F34" s="188"/>
      <c r="G34" s="188"/>
      <c r="T34" t="s">
        <v>433</v>
      </c>
      <c r="U34" t="s">
        <v>67</v>
      </c>
      <c r="V34" t="s">
        <v>52</v>
      </c>
      <c r="W34" t="str">
        <f t="shared" ref="W34" si="3">T34&amp;U34&amp;V34</f>
        <v>ZakelijkNeeJa</v>
      </c>
      <c r="X34" s="12">
        <v>0</v>
      </c>
    </row>
    <row r="35" spans="1:24">
      <c r="B35" s="188" t="s">
        <v>482</v>
      </c>
      <c r="C35" s="188"/>
      <c r="D35" s="188"/>
      <c r="E35" s="188"/>
      <c r="F35" s="188"/>
      <c r="G35" s="188"/>
    </row>
    <row r="36" spans="1:24">
      <c r="D36" s="109"/>
      <c r="E36" s="109"/>
      <c r="F36" s="109"/>
      <c r="G36" s="55"/>
    </row>
    <row r="37" spans="1:24">
      <c r="D37" s="109"/>
      <c r="E37" s="109"/>
      <c r="F37" s="109"/>
    </row>
    <row r="38" spans="1:24">
      <c r="B38" s="188" t="s">
        <v>629</v>
      </c>
      <c r="D38" s="159">
        <f ca="1">D23-D26*(D21+D29)</f>
        <v>2102</v>
      </c>
      <c r="E38" s="109"/>
      <c r="F38" s="109"/>
      <c r="G38" s="58"/>
      <c r="H38" s="159">
        <f ca="1">H23-H26*(H21+H29)</f>
        <v>1724</v>
      </c>
      <c r="L38" s="159">
        <f ca="1">L23-L26*(L21+L29)</f>
        <v>-3957</v>
      </c>
      <c r="O38" s="159">
        <f ca="1">O23-O26*(O21+O29)</f>
        <v>1947</v>
      </c>
    </row>
    <row r="39" spans="1:24">
      <c r="D39" s="410" t="s">
        <v>396</v>
      </c>
      <c r="E39" s="109"/>
      <c r="F39" s="109"/>
      <c r="G39" s="58"/>
      <c r="H39" s="410" t="s">
        <v>396</v>
      </c>
      <c r="L39" s="410" t="s">
        <v>396</v>
      </c>
      <c r="O39" s="410" t="s">
        <v>396</v>
      </c>
    </row>
    <row r="40" spans="1:24">
      <c r="D40" s="109"/>
      <c r="E40" s="109"/>
      <c r="F40" s="109"/>
      <c r="G40" s="58"/>
    </row>
    <row r="41" spans="1:24">
      <c r="D41" s="411" t="str">
        <f ca="1">IF(D38&lt;0,"nadeel ! ","voordeel ")</f>
        <v xml:space="preserve">voordeel </v>
      </c>
      <c r="E41" s="411"/>
      <c r="F41" s="411"/>
      <c r="G41" s="412"/>
      <c r="H41" s="411" t="str">
        <f ca="1">IF(H38&lt;0,"nadeel ! ","voordeel ")</f>
        <v xml:space="preserve">voordeel </v>
      </c>
      <c r="L41" s="411" t="str">
        <f ca="1">IF(L38&lt;0,"nadeel ! ","voordeel ")</f>
        <v xml:space="preserve">nadeel ! </v>
      </c>
      <c r="O41" s="411" t="str">
        <f ca="1">IF(O38&lt;0,"nadeel ! ","voordeel ")</f>
        <v xml:space="preserve">voordeel </v>
      </c>
    </row>
    <row r="42" spans="1:24">
      <c r="D42" s="411"/>
      <c r="E42" s="411"/>
      <c r="F42" s="411"/>
      <c r="G42" s="412"/>
      <c r="H42" s="411"/>
      <c r="L42" s="411"/>
      <c r="O42" s="411"/>
    </row>
    <row r="43" spans="1:24">
      <c r="D43" s="411"/>
      <c r="E43" s="411"/>
      <c r="F43" s="411"/>
      <c r="G43" s="412"/>
      <c r="H43" s="411"/>
      <c r="L43" s="411"/>
      <c r="O43" s="411"/>
    </row>
    <row r="44" spans="1:24">
      <c r="B44" s="173" t="s">
        <v>434</v>
      </c>
      <c r="C44" s="173" t="s">
        <v>304</v>
      </c>
      <c r="D44" s="173" t="s">
        <v>428</v>
      </c>
      <c r="E44" s="173"/>
      <c r="F44" s="109"/>
      <c r="G44" s="58"/>
      <c r="S44" s="420" t="s">
        <v>640</v>
      </c>
      <c r="T44" s="173" t="s">
        <v>434</v>
      </c>
      <c r="U44" s="173" t="s">
        <v>304</v>
      </c>
      <c r="V44" s="173" t="s">
        <v>428</v>
      </c>
      <c r="W44" s="173" t="s">
        <v>436</v>
      </c>
    </row>
    <row r="45" spans="1:24">
      <c r="A45" s="87" t="s">
        <v>633</v>
      </c>
      <c r="B45" t="str">
        <f ca="1">IF(ISERROR(VLOOKUP($A45,INDIRECT($W$8),2,FALSE)),"?",VLOOKUP($A45,INDIRECT($W$8),2,FALSE))</f>
        <v>Particulier</v>
      </c>
      <c r="C45" t="str">
        <f ca="1">IF(ISERROR(VLOOKUP($A45,INDIRECT($W$8),3,FALSE)),"?",VLOOKUP($A45,INDIRECT($W$8),3,FALSE))</f>
        <v>Ja</v>
      </c>
      <c r="D45" t="str">
        <f ca="1">IF(ISERROR(VLOOKUP($A45,INDIRECT($W$8),4,FALSE)),"?",VLOOKUP($A45,INDIRECT($W$8),4,FALSE))</f>
        <v>Nee</v>
      </c>
      <c r="E45" t="str">
        <f ca="1">IF(ISERROR(VLOOKUP($A45,INDIRECT($W$8),6,FALSE)),"?",VLOOKUP($A45,INDIRECT($W$8),6,FALSE))</f>
        <v>€ 2430 minus € 15 per kWh capaciteit (€ 328).</v>
      </c>
      <c r="G45" s="58"/>
      <c r="R45" s="87"/>
      <c r="S45" s="87" t="s">
        <v>633</v>
      </c>
      <c r="T45" t="s">
        <v>432</v>
      </c>
      <c r="U45" t="s">
        <v>52</v>
      </c>
      <c r="V45" t="s">
        <v>67</v>
      </c>
      <c r="W45" t="str">
        <f>T45&amp;U45&amp;V45</f>
        <v>ParticulierJaNee</v>
      </c>
      <c r="X45" s="12" t="str">
        <f ca="1">IF(D13="nee","Geen teruggave BTW op aanschaf batterijen",CONCATENATE(J6,IF(D19=E9,J5,J7)))</f>
        <v>€ 2430 minus € 15 per kWh capaciteit (€ 328).</v>
      </c>
    </row>
    <row r="46" spans="1:24">
      <c r="A46" s="87" t="s">
        <v>634</v>
      </c>
      <c r="B46" t="str">
        <f t="shared" ref="B46:B52" ca="1" si="4">IF(ISERROR(VLOOKUP($A46,INDIRECT($W$8),2,FALSE)),"?",VLOOKUP($A46,INDIRECT($W$8),2,FALSE))</f>
        <v>Particulier</v>
      </c>
      <c r="C46" t="str">
        <f t="shared" ref="C46:C52" ca="1" si="5">IF(ISERROR(VLOOKUP($A46,INDIRECT($W$8),3,FALSE)),"?",VLOOKUP($A46,INDIRECT($W$8),3,FALSE))</f>
        <v>Ja</v>
      </c>
      <c r="D46" t="str">
        <f t="shared" ref="D46:D52" ca="1" si="6">IF(ISERROR(VLOOKUP($A46,INDIRECT($W$8),4,FALSE)),"?",VLOOKUP($A46,INDIRECT($W$8),4,FALSE))</f>
        <v>Nee</v>
      </c>
      <c r="E46" t="str">
        <f t="shared" ref="E46:E52" ca="1" si="7">IF(ISERROR(VLOOKUP($A46,INDIRECT($W$8),6,FALSE)),"?",VLOOKUP($A46,INDIRECT($W$8),6,FALSE))</f>
        <v/>
      </c>
      <c r="G46" s="58"/>
      <c r="R46" s="87"/>
      <c r="S46" s="87" t="s">
        <v>634</v>
      </c>
      <c r="T46" t="s">
        <v>432</v>
      </c>
      <c r="U46" t="s">
        <v>52</v>
      </c>
      <c r="V46" t="s">
        <v>67</v>
      </c>
      <c r="W46" t="str">
        <f t="shared" ref="W46:W50" si="8">T46&amp;U46&amp;V46</f>
        <v>ParticulierJaNee</v>
      </c>
      <c r="X46" s="12" t="str">
        <f ca="1">IF(D26=0,"",CONCATENATE("Daarna nog ",D26," jaar € ",D21," af te dragen BTW."))</f>
        <v/>
      </c>
    </row>
    <row r="47" spans="1:24">
      <c r="A47" s="87" t="s">
        <v>635</v>
      </c>
      <c r="B47" t="str">
        <f t="shared" ca="1" si="4"/>
        <v>Particulier</v>
      </c>
      <c r="C47" t="str">
        <f t="shared" ca="1" si="5"/>
        <v>Ja</v>
      </c>
      <c r="D47" t="str">
        <f t="shared" ca="1" si="6"/>
        <v>Nee</v>
      </c>
      <c r="E47" t="str">
        <f t="shared" ca="1" si="7"/>
        <v/>
      </c>
      <c r="G47" s="58"/>
      <c r="R47" s="87"/>
      <c r="S47" s="87" t="s">
        <v>635</v>
      </c>
      <c r="T47" t="s">
        <v>432</v>
      </c>
      <c r="U47" t="s">
        <v>52</v>
      </c>
      <c r="V47" t="s">
        <v>67</v>
      </c>
      <c r="W47" t="str">
        <f t="shared" si="8"/>
        <v>ParticulierJaNee</v>
      </c>
      <c r="X47" s="12" t="str">
        <f ca="1">IF(D26=0,"",CONCATENATE("Jaarlijkse kosten BTW-aangifte € ",D29))</f>
        <v/>
      </c>
    </row>
    <row r="48" spans="1:24">
      <c r="A48" s="87" t="s">
        <v>636</v>
      </c>
      <c r="B48" t="str">
        <f t="shared" ca="1" si="4"/>
        <v>Particulier</v>
      </c>
      <c r="C48" t="str">
        <f t="shared" ca="1" si="5"/>
        <v>Ja</v>
      </c>
      <c r="D48" t="str">
        <f t="shared" ca="1" si="6"/>
        <v>Nee</v>
      </c>
      <c r="E48" t="str">
        <f t="shared" ca="1" si="7"/>
        <v/>
      </c>
      <c r="G48" s="58"/>
      <c r="R48" s="87"/>
      <c r="S48" s="87" t="s">
        <v>636</v>
      </c>
      <c r="T48" t="s">
        <v>432</v>
      </c>
      <c r="U48" t="s">
        <v>52</v>
      </c>
      <c r="V48" t="s">
        <v>67</v>
      </c>
      <c r="W48" t="str">
        <f t="shared" si="8"/>
        <v>ParticulierJaNee</v>
      </c>
      <c r="X48" s="12" t="str">
        <f ca="1">IF(D26=0,"",CONCATENATE("Totaal BTW-",D41,"per saldo € ",D38))</f>
        <v/>
      </c>
    </row>
    <row r="49" spans="1:24">
      <c r="A49" s="87" t="s">
        <v>637</v>
      </c>
      <c r="B49" t="str">
        <f t="shared" ca="1" si="4"/>
        <v>Particulier</v>
      </c>
      <c r="C49" t="str">
        <f t="shared" ca="1" si="5"/>
        <v>Ja</v>
      </c>
      <c r="D49" t="str">
        <f t="shared" ca="1" si="6"/>
        <v>Nee</v>
      </c>
      <c r="E49" t="str">
        <f t="shared" ca="1" si="7"/>
        <v/>
      </c>
      <c r="G49" s="58"/>
      <c r="R49" s="87"/>
      <c r="S49" s="87" t="s">
        <v>637</v>
      </c>
      <c r="T49" t="s">
        <v>432</v>
      </c>
      <c r="U49" t="s">
        <v>52</v>
      </c>
      <c r="V49" t="s">
        <v>67</v>
      </c>
      <c r="W49" t="str">
        <f t="shared" si="8"/>
        <v>ParticulierJaNee</v>
      </c>
      <c r="X49" s="407" t="s">
        <v>631</v>
      </c>
    </row>
    <row r="50" spans="1:24">
      <c r="A50" s="87" t="s">
        <v>638</v>
      </c>
      <c r="B50" t="str">
        <f t="shared" ca="1" si="4"/>
        <v>Particulier</v>
      </c>
      <c r="C50" t="str">
        <f t="shared" ca="1" si="5"/>
        <v>Ja</v>
      </c>
      <c r="D50" t="str">
        <f t="shared" ca="1" si="6"/>
        <v>Nee</v>
      </c>
      <c r="E50" t="str">
        <f t="shared" ca="1" si="7"/>
        <v/>
      </c>
      <c r="G50" s="58"/>
      <c r="R50" s="87"/>
      <c r="S50" s="87" t="s">
        <v>638</v>
      </c>
      <c r="T50" t="s">
        <v>432</v>
      </c>
      <c r="U50" t="s">
        <v>52</v>
      </c>
      <c r="V50" t="s">
        <v>67</v>
      </c>
      <c r="W50" t="str">
        <f t="shared" si="8"/>
        <v>ParticulierJaNee</v>
      </c>
      <c r="X50" s="407" t="str">
        <f ca="1">IF(D38&lt;0,"In de berekening van de kosten wordt ervan uitgegaan, dat er","")</f>
        <v/>
      </c>
    </row>
    <row r="51" spans="1:24">
      <c r="A51" s="87" t="s">
        <v>639</v>
      </c>
      <c r="B51" t="str">
        <f t="shared" ca="1" si="4"/>
        <v>Particulier</v>
      </c>
      <c r="C51" t="str">
        <f t="shared" ca="1" si="5"/>
        <v>Ja</v>
      </c>
      <c r="D51" t="str">
        <f t="shared" ca="1" si="6"/>
        <v>Nee</v>
      </c>
      <c r="E51" t="str">
        <f t="shared" ca="1" si="7"/>
        <v/>
      </c>
      <c r="G51" s="58"/>
      <c r="R51" s="87"/>
      <c r="S51" s="87" t="s">
        <v>639</v>
      </c>
      <c r="T51" t="s">
        <v>432</v>
      </c>
      <c r="U51" t="s">
        <v>52</v>
      </c>
      <c r="V51" t="s">
        <v>67</v>
      </c>
      <c r="W51" t="str">
        <f>T51&amp;U51&amp;V51</f>
        <v>ParticulierJaNee</v>
      </c>
      <c r="X51" s="407" t="str">
        <f ca="1">IF(D38&lt;0,"geen BTW teruggevraagd wordt, omdat dit geen voordeel oplevert","")</f>
        <v/>
      </c>
    </row>
    <row r="52" spans="1:24">
      <c r="A52" s="424" t="s">
        <v>643</v>
      </c>
      <c r="B52" t="str">
        <f t="shared" ca="1" si="4"/>
        <v>Particulier</v>
      </c>
      <c r="C52" t="str">
        <f t="shared" ca="1" si="5"/>
        <v>Ja</v>
      </c>
      <c r="D52" t="str">
        <f t="shared" ca="1" si="6"/>
        <v>Nee</v>
      </c>
      <c r="E52">
        <f t="shared" ca="1" si="7"/>
        <v>2102</v>
      </c>
      <c r="S52" s="87" t="s">
        <v>643</v>
      </c>
      <c r="T52" t="s">
        <v>432</v>
      </c>
      <c r="U52" t="s">
        <v>52</v>
      </c>
      <c r="V52" t="s">
        <v>67</v>
      </c>
      <c r="W52" t="str">
        <f>T52&amp;U52&amp;V52</f>
        <v>ParticulierJaNee</v>
      </c>
      <c r="X52" s="423">
        <f ca="1">MAX(0,D38)</f>
        <v>2102</v>
      </c>
    </row>
    <row r="54" spans="1:24">
      <c r="S54" s="420" t="s">
        <v>640</v>
      </c>
      <c r="T54" s="173" t="s">
        <v>434</v>
      </c>
      <c r="U54" s="173" t="s">
        <v>304</v>
      </c>
      <c r="V54" s="173" t="s">
        <v>428</v>
      </c>
      <c r="W54" s="173" t="s">
        <v>436</v>
      </c>
    </row>
    <row r="55" spans="1:24">
      <c r="S55" s="87" t="s">
        <v>633</v>
      </c>
      <c r="T55" t="s">
        <v>432</v>
      </c>
      <c r="U55" t="s">
        <v>52</v>
      </c>
      <c r="V55" t="s">
        <v>52</v>
      </c>
      <c r="W55" t="str">
        <f>T55&amp;U55&amp;V55</f>
        <v>ParticulierJaJa</v>
      </c>
      <c r="X55" s="12" t="str">
        <f ca="1">IF(D13="nee","Geen teruggave BTW op aanschaf batterijen",CONCATENATE(K6,IF(D19=E9,J5,J7)))</f>
        <v>1e jaar : € 2430 minus € 15 per kWh capaciteit (€ 328).</v>
      </c>
    </row>
    <row r="56" spans="1:24">
      <c r="S56" s="87" t="s">
        <v>634</v>
      </c>
      <c r="T56" t="s">
        <v>432</v>
      </c>
      <c r="U56" t="s">
        <v>52</v>
      </c>
      <c r="V56" t="s">
        <v>52</v>
      </c>
      <c r="W56" t="str">
        <f t="shared" ref="W56:W62" si="9">T56&amp;U56&amp;V56</f>
        <v>ParticulierJaJa</v>
      </c>
      <c r="X56" s="12" t="str">
        <f ca="1">IF(H26=0,"",CONCATENATE("Daarna nog ",H26," jaar € ",H21," af te dragen BTW."))</f>
        <v>Daarna nog 1 jaar € 328 af te dragen BTW.</v>
      </c>
    </row>
    <row r="57" spans="1:24">
      <c r="S57" s="87" t="s">
        <v>635</v>
      </c>
      <c r="T57" t="s">
        <v>432</v>
      </c>
      <c r="U57" t="s">
        <v>52</v>
      </c>
      <c r="V57" t="s">
        <v>52</v>
      </c>
      <c r="W57" t="str">
        <f t="shared" si="9"/>
        <v>ParticulierJaJa</v>
      </c>
      <c r="X57" s="12" t="str">
        <f ca="1">IF(H26=0,"",CONCATENATE("Jaarlijkse kosten BTW-aangifte € ",H29))</f>
        <v>Jaarlijkse kosten BTW-aangifte € 50</v>
      </c>
    </row>
    <row r="58" spans="1:24">
      <c r="S58" s="87" t="s">
        <v>636</v>
      </c>
      <c r="T58" t="s">
        <v>432</v>
      </c>
      <c r="U58" t="s">
        <v>52</v>
      </c>
      <c r="V58" t="s">
        <v>52</v>
      </c>
      <c r="W58" t="str">
        <f t="shared" si="9"/>
        <v>ParticulierJaJa</v>
      </c>
      <c r="X58" s="407" t="str">
        <f ca="1">IF(H26=0,"",CONCATENATE("Totaal BTW-",H41,"per saldo € ",H38))</f>
        <v>Totaal BTW-voordeel per saldo € 1724</v>
      </c>
    </row>
    <row r="59" spans="1:24">
      <c r="S59" s="87" t="s">
        <v>637</v>
      </c>
      <c r="T59" t="s">
        <v>432</v>
      </c>
      <c r="U59" t="s">
        <v>52</v>
      </c>
      <c r="V59" t="s">
        <v>52</v>
      </c>
      <c r="W59" t="str">
        <f t="shared" si="9"/>
        <v>ParticulierJaJa</v>
      </c>
      <c r="X59" s="407" t="s">
        <v>631</v>
      </c>
    </row>
    <row r="60" spans="1:24">
      <c r="S60" s="87" t="s">
        <v>638</v>
      </c>
      <c r="T60" t="s">
        <v>432</v>
      </c>
      <c r="U60" t="s">
        <v>52</v>
      </c>
      <c r="V60" t="s">
        <v>52</v>
      </c>
      <c r="W60" t="str">
        <f t="shared" si="9"/>
        <v>ParticulierJaJa</v>
      </c>
      <c r="X60" s="407" t="str">
        <f ca="1">IF(D38&lt;0,"In de berekening van de kosten wordt ervan uitgegaan, dat er","")</f>
        <v/>
      </c>
    </row>
    <row r="61" spans="1:24">
      <c r="S61" s="87" t="s">
        <v>639</v>
      </c>
      <c r="T61" t="s">
        <v>432</v>
      </c>
      <c r="U61" t="s">
        <v>52</v>
      </c>
      <c r="V61" t="s">
        <v>52</v>
      </c>
      <c r="W61" t="str">
        <f t="shared" ref="W61" si="10">T61&amp;U61&amp;V61</f>
        <v>ParticulierJaJa</v>
      </c>
      <c r="X61" s="407" t="str">
        <f ca="1">IF(D38&lt;0,"geen BTW teruggevraagd wordt, omdat dit geen voordeel oplevert","")</f>
        <v/>
      </c>
    </row>
    <row r="62" spans="1:24">
      <c r="S62" s="87" t="s">
        <v>643</v>
      </c>
      <c r="T62" t="s">
        <v>432</v>
      </c>
      <c r="U62" t="s">
        <v>52</v>
      </c>
      <c r="V62" t="s">
        <v>52</v>
      </c>
      <c r="W62" t="str">
        <f t="shared" si="9"/>
        <v>ParticulierJaJa</v>
      </c>
      <c r="X62" s="423">
        <f ca="1">MAX(0,H38)</f>
        <v>1724</v>
      </c>
    </row>
    <row r="64" spans="1:24">
      <c r="S64" s="420" t="s">
        <v>640</v>
      </c>
      <c r="T64" s="173" t="s">
        <v>434</v>
      </c>
      <c r="U64" s="173" t="s">
        <v>304</v>
      </c>
      <c r="V64" s="173" t="s">
        <v>428</v>
      </c>
      <c r="W64" s="173" t="s">
        <v>436</v>
      </c>
    </row>
    <row r="65" spans="4:24">
      <c r="S65" s="87" t="s">
        <v>633</v>
      </c>
      <c r="T65" t="s">
        <v>432</v>
      </c>
      <c r="U65" t="s">
        <v>67</v>
      </c>
      <c r="V65" t="s">
        <v>67</v>
      </c>
      <c r="W65" t="str">
        <f>T65&amp;U65&amp;V65</f>
        <v>ParticulierNeeNee</v>
      </c>
      <c r="X65" s="419" t="str">
        <f>J3</f>
        <v>Geen teruggave BTW op aanschaf batterijen.</v>
      </c>
    </row>
    <row r="66" spans="4:24">
      <c r="S66" s="87" t="s">
        <v>634</v>
      </c>
      <c r="T66" t="s">
        <v>432</v>
      </c>
      <c r="U66" t="s">
        <v>67</v>
      </c>
      <c r="V66" t="s">
        <v>67</v>
      </c>
      <c r="W66" t="str">
        <f t="shared" ref="W66:W72" si="11">T66&amp;U66&amp;V66</f>
        <v>ParticulierNeeNee</v>
      </c>
      <c r="X66" s="12" t="s">
        <v>437</v>
      </c>
    </row>
    <row r="67" spans="4:24">
      <c r="S67" s="87" t="s">
        <v>635</v>
      </c>
      <c r="T67" t="s">
        <v>432</v>
      </c>
      <c r="U67" t="s">
        <v>67</v>
      </c>
      <c r="V67" t="s">
        <v>67</v>
      </c>
      <c r="W67" t="str">
        <f t="shared" si="11"/>
        <v>ParticulierNeeNee</v>
      </c>
      <c r="X67" s="12" t="s">
        <v>437</v>
      </c>
    </row>
    <row r="68" spans="4:24">
      <c r="S68" s="87" t="s">
        <v>636</v>
      </c>
      <c r="T68" t="s">
        <v>432</v>
      </c>
      <c r="U68" t="s">
        <v>67</v>
      </c>
      <c r="V68" t="s">
        <v>67</v>
      </c>
      <c r="W68" t="str">
        <f t="shared" si="11"/>
        <v>ParticulierNeeNee</v>
      </c>
      <c r="X68" s="12" t="s">
        <v>437</v>
      </c>
    </row>
    <row r="69" spans="4:24">
      <c r="S69" s="87" t="s">
        <v>637</v>
      </c>
      <c r="T69" t="s">
        <v>432</v>
      </c>
      <c r="U69" t="s">
        <v>67</v>
      </c>
      <c r="V69" t="s">
        <v>67</v>
      </c>
      <c r="W69" t="str">
        <f t="shared" si="11"/>
        <v>ParticulierNeeNee</v>
      </c>
      <c r="X69" s="407" t="s">
        <v>631</v>
      </c>
    </row>
    <row r="70" spans="4:24">
      <c r="S70" s="87" t="s">
        <v>638</v>
      </c>
      <c r="T70" t="s">
        <v>432</v>
      </c>
      <c r="U70" t="s">
        <v>67</v>
      </c>
      <c r="V70" t="s">
        <v>67</v>
      </c>
      <c r="W70" t="str">
        <f t="shared" si="11"/>
        <v>ParticulierNeeNee</v>
      </c>
      <c r="X70" s="407" t="s">
        <v>631</v>
      </c>
    </row>
    <row r="71" spans="4:24">
      <c r="S71" s="87" t="s">
        <v>639</v>
      </c>
      <c r="T71" t="s">
        <v>432</v>
      </c>
      <c r="U71" t="s">
        <v>67</v>
      </c>
      <c r="V71" t="s">
        <v>67</v>
      </c>
      <c r="W71" t="str">
        <f t="shared" ref="W71" si="12">T71&amp;U71&amp;V71</f>
        <v>ParticulierNeeNee</v>
      </c>
      <c r="X71" s="407" t="s">
        <v>631</v>
      </c>
    </row>
    <row r="72" spans="4:24">
      <c r="S72" s="87" t="s">
        <v>643</v>
      </c>
      <c r="T72" t="s">
        <v>432</v>
      </c>
      <c r="U72" t="s">
        <v>67</v>
      </c>
      <c r="V72" t="s">
        <v>67</v>
      </c>
      <c r="W72" t="str">
        <f t="shared" si="11"/>
        <v>ParticulierNeeNee</v>
      </c>
      <c r="X72" s="407">
        <v>0</v>
      </c>
    </row>
    <row r="74" spans="4:24">
      <c r="S74" s="420" t="s">
        <v>640</v>
      </c>
      <c r="T74" s="173" t="s">
        <v>434</v>
      </c>
      <c r="U74" s="173" t="s">
        <v>304</v>
      </c>
      <c r="V74" s="173" t="s">
        <v>428</v>
      </c>
      <c r="W74" s="173" t="s">
        <v>436</v>
      </c>
    </row>
    <row r="75" spans="4:24">
      <c r="S75" s="87" t="s">
        <v>633</v>
      </c>
      <c r="T75" t="s">
        <v>432</v>
      </c>
      <c r="U75" t="s">
        <v>67</v>
      </c>
      <c r="V75" t="s">
        <v>52</v>
      </c>
      <c r="W75" t="str">
        <f>T75&amp;U75&amp;V75</f>
        <v>ParticulierNeeJa</v>
      </c>
      <c r="X75" s="419" t="str">
        <f>J3</f>
        <v>Geen teruggave BTW op aanschaf batterijen.</v>
      </c>
    </row>
    <row r="76" spans="4:24">
      <c r="S76" s="87" t="s">
        <v>634</v>
      </c>
      <c r="T76" t="s">
        <v>432</v>
      </c>
      <c r="U76" t="s">
        <v>67</v>
      </c>
      <c r="V76" t="s">
        <v>52</v>
      </c>
      <c r="W76" t="str">
        <f t="shared" ref="W76:W82" si="13">T76&amp;U76&amp;V76</f>
        <v>ParticulierNeeJa</v>
      </c>
      <c r="X76" s="12" t="s">
        <v>437</v>
      </c>
    </row>
    <row r="77" spans="4:24">
      <c r="S77" s="87" t="s">
        <v>635</v>
      </c>
      <c r="T77" t="s">
        <v>432</v>
      </c>
      <c r="U77" t="s">
        <v>67</v>
      </c>
      <c r="V77" t="s">
        <v>52</v>
      </c>
      <c r="W77" t="str">
        <f t="shared" si="13"/>
        <v>ParticulierNeeJa</v>
      </c>
      <c r="X77" s="12" t="s">
        <v>437</v>
      </c>
    </row>
    <row r="78" spans="4:24">
      <c r="S78" s="87" t="s">
        <v>636</v>
      </c>
      <c r="T78" t="s">
        <v>432</v>
      </c>
      <c r="U78" t="s">
        <v>67</v>
      </c>
      <c r="V78" t="s">
        <v>52</v>
      </c>
      <c r="W78" t="str">
        <f t="shared" si="13"/>
        <v>ParticulierNeeJa</v>
      </c>
      <c r="X78" s="12" t="s">
        <v>437</v>
      </c>
    </row>
    <row r="79" spans="4:24">
      <c r="S79" s="87" t="s">
        <v>637</v>
      </c>
      <c r="T79" t="s">
        <v>432</v>
      </c>
      <c r="U79" t="s">
        <v>67</v>
      </c>
      <c r="V79" t="s">
        <v>52</v>
      </c>
      <c r="W79" t="str">
        <f t="shared" si="13"/>
        <v>ParticulierNeeJa</v>
      </c>
      <c r="X79" s="407" t="s">
        <v>631</v>
      </c>
    </row>
    <row r="80" spans="4:24">
      <c r="D80" s="110"/>
      <c r="S80" s="87" t="s">
        <v>638</v>
      </c>
      <c r="T80" t="s">
        <v>432</v>
      </c>
      <c r="U80" t="s">
        <v>67</v>
      </c>
      <c r="V80" t="s">
        <v>52</v>
      </c>
      <c r="W80" t="str">
        <f t="shared" si="13"/>
        <v>ParticulierNeeJa</v>
      </c>
      <c r="X80" s="407" t="s">
        <v>631</v>
      </c>
    </row>
    <row r="81" spans="4:24">
      <c r="D81" s="110"/>
      <c r="S81" s="87" t="s">
        <v>639</v>
      </c>
      <c r="T81" t="s">
        <v>432</v>
      </c>
      <c r="U81" t="s">
        <v>67</v>
      </c>
      <c r="V81" t="s">
        <v>52</v>
      </c>
      <c r="W81" t="str">
        <f t="shared" ref="W81" si="14">T81&amp;U81&amp;V81</f>
        <v>ParticulierNeeJa</v>
      </c>
      <c r="X81" s="407" t="s">
        <v>631</v>
      </c>
    </row>
    <row r="82" spans="4:24">
      <c r="D82" s="110"/>
      <c r="S82" s="87" t="s">
        <v>643</v>
      </c>
      <c r="T82" t="s">
        <v>432</v>
      </c>
      <c r="U82" t="s">
        <v>67</v>
      </c>
      <c r="V82" t="s">
        <v>52</v>
      </c>
      <c r="W82" t="str">
        <f t="shared" si="13"/>
        <v>ParticulierNeeJa</v>
      </c>
      <c r="X82" s="407">
        <v>0</v>
      </c>
    </row>
    <row r="84" spans="4:24">
      <c r="S84" s="420" t="s">
        <v>640</v>
      </c>
      <c r="T84" s="173" t="s">
        <v>434</v>
      </c>
      <c r="U84" s="173" t="s">
        <v>304</v>
      </c>
      <c r="V84" s="173" t="s">
        <v>428</v>
      </c>
      <c r="W84" s="173" t="s">
        <v>436</v>
      </c>
    </row>
    <row r="85" spans="4:24">
      <c r="S85" s="87" t="s">
        <v>633</v>
      </c>
      <c r="T85" t="s">
        <v>433</v>
      </c>
      <c r="U85" t="s">
        <v>52</v>
      </c>
      <c r="V85" t="s">
        <v>52</v>
      </c>
      <c r="W85" t="str">
        <f>T85&amp;U85&amp;V85</f>
        <v>ZakelijkJaJa</v>
      </c>
      <c r="X85" s="12" t="str">
        <f ca="1">J11</f>
        <v>1e jaar : € 2430 minus af te dragen BTW teruglevering € 328 (schatting).</v>
      </c>
    </row>
    <row r="86" spans="4:24">
      <c r="S86" s="87" t="s">
        <v>634</v>
      </c>
      <c r="T86" t="s">
        <v>433</v>
      </c>
      <c r="U86" t="s">
        <v>52</v>
      </c>
      <c r="V86" t="s">
        <v>52</v>
      </c>
      <c r="W86" t="str">
        <f t="shared" ref="W86:W92" si="15">T86&amp;U86&amp;V86</f>
        <v>ZakelijkJaJa</v>
      </c>
      <c r="X86" s="12" t="str">
        <f ca="1">CONCATENATE("Daarna nog ",H26," jaar € ",L21," afdracht van BTW teruglevering (schatting).")</f>
        <v>Daarna nog 1 jaar € 328 afdracht van BTW teruglevering (schatting).</v>
      </c>
    </row>
    <row r="87" spans="4:24">
      <c r="S87" s="87" t="s">
        <v>635</v>
      </c>
      <c r="T87" t="s">
        <v>433</v>
      </c>
      <c r="U87" t="s">
        <v>52</v>
      </c>
      <c r="V87" t="s">
        <v>52</v>
      </c>
      <c r="W87" t="str">
        <f t="shared" si="15"/>
        <v>ZakelijkJaJa</v>
      </c>
      <c r="X87" s="407" t="str">
        <f ca="1">IF(O26=0,"",CONCATENATE("Totaal BTW-",O41,IF(O26=19,"in deze 20 jaar","")," per saldo € ",O38))</f>
        <v>Totaal BTW-voordeel  per saldo € 1947</v>
      </c>
    </row>
    <row r="88" spans="4:24">
      <c r="S88" s="87" t="s">
        <v>636</v>
      </c>
      <c r="T88" t="s">
        <v>433</v>
      </c>
      <c r="U88" t="s">
        <v>52</v>
      </c>
      <c r="V88" t="s">
        <v>52</v>
      </c>
      <c r="W88" t="str">
        <f t="shared" si="15"/>
        <v>ZakelijkJaJa</v>
      </c>
      <c r="X88" s="407" t="s">
        <v>631</v>
      </c>
    </row>
    <row r="89" spans="4:24">
      <c r="S89" s="87" t="s">
        <v>637</v>
      </c>
      <c r="T89" t="s">
        <v>433</v>
      </c>
      <c r="U89" t="s">
        <v>52</v>
      </c>
      <c r="V89" t="s">
        <v>52</v>
      </c>
      <c r="W89" t="str">
        <f t="shared" si="15"/>
        <v>ZakelijkJaJa</v>
      </c>
      <c r="X89" s="407" t="s">
        <v>474</v>
      </c>
    </row>
    <row r="90" spans="4:24">
      <c r="S90" s="87" t="s">
        <v>638</v>
      </c>
      <c r="T90" t="s">
        <v>433</v>
      </c>
      <c r="U90" t="s">
        <v>52</v>
      </c>
      <c r="V90" t="s">
        <v>52</v>
      </c>
      <c r="W90" t="str">
        <f t="shared" si="15"/>
        <v>ZakelijkJaJa</v>
      </c>
      <c r="X90" s="407" t="s">
        <v>473</v>
      </c>
    </row>
    <row r="91" spans="4:24">
      <c r="S91" s="87" t="s">
        <v>639</v>
      </c>
      <c r="T91" t="s">
        <v>433</v>
      </c>
      <c r="U91" t="s">
        <v>52</v>
      </c>
      <c r="V91" t="s">
        <v>52</v>
      </c>
      <c r="W91" t="str">
        <f t="shared" ref="W91" si="16">T91&amp;U91&amp;V91</f>
        <v>ZakelijkJaJa</v>
      </c>
      <c r="X91" s="407" t="s">
        <v>631</v>
      </c>
    </row>
    <row r="92" spans="4:24">
      <c r="S92" s="87" t="s">
        <v>643</v>
      </c>
      <c r="T92" t="s">
        <v>433</v>
      </c>
      <c r="U92" t="s">
        <v>52</v>
      </c>
      <c r="V92" t="s">
        <v>52</v>
      </c>
      <c r="W92" t="str">
        <f t="shared" si="15"/>
        <v>ZakelijkJaJa</v>
      </c>
      <c r="X92" s="423">
        <f ca="1">O38</f>
        <v>1947</v>
      </c>
    </row>
    <row r="94" spans="4:24">
      <c r="S94" s="420" t="s">
        <v>640</v>
      </c>
      <c r="T94" s="173" t="s">
        <v>434</v>
      </c>
      <c r="U94" s="173" t="s">
        <v>304</v>
      </c>
      <c r="V94" s="173" t="s">
        <v>428</v>
      </c>
      <c r="W94" s="173" t="s">
        <v>436</v>
      </c>
    </row>
    <row r="95" spans="4:24">
      <c r="S95" s="87" t="s">
        <v>633</v>
      </c>
      <c r="T95" t="s">
        <v>433</v>
      </c>
      <c r="U95" t="s">
        <v>52</v>
      </c>
      <c r="V95" t="s">
        <v>67</v>
      </c>
      <c r="W95" t="str">
        <f>T95&amp;U95&amp;V95</f>
        <v>ZakelijkJaNee</v>
      </c>
      <c r="X95" s="12" t="str">
        <f ca="1">J9</f>
        <v>1e jaar : € 2603 minus af te dragen BTW teruglevering € 328 (schatting).</v>
      </c>
    </row>
    <row r="96" spans="4:24">
      <c r="S96" s="87" t="s">
        <v>634</v>
      </c>
      <c r="T96" t="s">
        <v>433</v>
      </c>
      <c r="U96" t="s">
        <v>52</v>
      </c>
      <c r="V96" t="s">
        <v>67</v>
      </c>
      <c r="W96" t="str">
        <f t="shared" ref="W96:W102" si="17">T96&amp;U96&amp;V96</f>
        <v>ZakelijkJaNee</v>
      </c>
      <c r="X96" s="12" t="str">
        <f ca="1">CONCATENATE("Daarna nog ieder jaar € ",L21," afdracht van BTW teruglevering (schatting).")</f>
        <v>Daarna nog ieder jaar € 328 afdracht van BTW teruglevering (schatting).</v>
      </c>
    </row>
    <row r="97" spans="19:24">
      <c r="S97" s="87" t="s">
        <v>635</v>
      </c>
      <c r="T97" t="s">
        <v>433</v>
      </c>
      <c r="U97" t="s">
        <v>52</v>
      </c>
      <c r="V97" t="s">
        <v>67</v>
      </c>
      <c r="W97" t="str">
        <f t="shared" si="17"/>
        <v>ZakelijkJaNee</v>
      </c>
      <c r="X97" s="407" t="str">
        <f ca="1">IF(L26=0,"",CONCATENATE("Totaal BTW-",L41,"in deze 20 jaar per saldo € ",L38))</f>
        <v>Totaal BTW-nadeel ! in deze 20 jaar per saldo € -3957</v>
      </c>
    </row>
    <row r="98" spans="19:24">
      <c r="S98" s="87" t="s">
        <v>636</v>
      </c>
      <c r="T98" t="s">
        <v>433</v>
      </c>
      <c r="U98" t="s">
        <v>52</v>
      </c>
      <c r="V98" t="s">
        <v>67</v>
      </c>
      <c r="W98" t="str">
        <f t="shared" si="17"/>
        <v>ZakelijkJaNee</v>
      </c>
      <c r="X98" s="407" t="s">
        <v>631</v>
      </c>
    </row>
    <row r="99" spans="19:24">
      <c r="S99" s="87" t="s">
        <v>637</v>
      </c>
      <c r="T99" t="s">
        <v>433</v>
      </c>
      <c r="U99" t="s">
        <v>52</v>
      </c>
      <c r="V99" t="s">
        <v>67</v>
      </c>
      <c r="W99" t="str">
        <f t="shared" si="17"/>
        <v>ZakelijkJaNee</v>
      </c>
      <c r="X99" s="407" t="s">
        <v>474</v>
      </c>
    </row>
    <row r="100" spans="19:24">
      <c r="S100" s="87" t="s">
        <v>638</v>
      </c>
      <c r="T100" t="s">
        <v>433</v>
      </c>
      <c r="U100" t="s">
        <v>52</v>
      </c>
      <c r="V100" t="s">
        <v>67</v>
      </c>
      <c r="W100" t="str">
        <f t="shared" si="17"/>
        <v>ZakelijkJaNee</v>
      </c>
      <c r="X100" s="407" t="s">
        <v>473</v>
      </c>
    </row>
    <row r="101" spans="19:24">
      <c r="S101" s="87" t="s">
        <v>639</v>
      </c>
      <c r="T101" t="s">
        <v>433</v>
      </c>
      <c r="U101" t="s">
        <v>52</v>
      </c>
      <c r="V101" t="s">
        <v>67</v>
      </c>
      <c r="W101" t="str">
        <f t="shared" ref="W101" si="18">T101&amp;U101&amp;V101</f>
        <v>ZakelijkJaNee</v>
      </c>
      <c r="X101" s="407" t="s">
        <v>631</v>
      </c>
    </row>
    <row r="102" spans="19:24">
      <c r="S102" s="87" t="s">
        <v>643</v>
      </c>
      <c r="T102" t="s">
        <v>433</v>
      </c>
      <c r="U102" t="s">
        <v>52</v>
      </c>
      <c r="V102" t="s">
        <v>67</v>
      </c>
      <c r="W102" t="str">
        <f t="shared" si="17"/>
        <v>ZakelijkJaNee</v>
      </c>
      <c r="X102" s="423">
        <f ca="1">L38</f>
        <v>-3957</v>
      </c>
    </row>
    <row r="104" spans="19:24">
      <c r="S104" s="420" t="s">
        <v>640</v>
      </c>
      <c r="T104" s="173" t="s">
        <v>434</v>
      </c>
      <c r="U104" s="173" t="s">
        <v>304</v>
      </c>
      <c r="V104" s="173" t="s">
        <v>428</v>
      </c>
      <c r="W104" s="173" t="s">
        <v>436</v>
      </c>
    </row>
    <row r="105" spans="19:24">
      <c r="S105" s="87" t="s">
        <v>633</v>
      </c>
      <c r="T105" t="s">
        <v>433</v>
      </c>
      <c r="U105" t="s">
        <v>67</v>
      </c>
      <c r="V105" t="s">
        <v>67</v>
      </c>
      <c r="W105" t="str">
        <f>T105&amp;U105&amp;V105</f>
        <v>ZakelijkNeeNee</v>
      </c>
      <c r="X105" s="419" t="str">
        <f>J3</f>
        <v>Geen teruggave BTW op aanschaf batterijen.</v>
      </c>
    </row>
    <row r="106" spans="19:24">
      <c r="S106" s="87" t="s">
        <v>634</v>
      </c>
      <c r="T106" t="s">
        <v>433</v>
      </c>
      <c r="U106" t="s">
        <v>67</v>
      </c>
      <c r="V106" t="s">
        <v>67</v>
      </c>
      <c r="W106" t="str">
        <f t="shared" ref="W106:W112" si="19">T106&amp;U106&amp;V106</f>
        <v>ZakelijkNeeNee</v>
      </c>
      <c r="X106" s="419" t="s">
        <v>437</v>
      </c>
    </row>
    <row r="107" spans="19:24">
      <c r="S107" s="87" t="s">
        <v>635</v>
      </c>
      <c r="T107" t="s">
        <v>433</v>
      </c>
      <c r="U107" t="s">
        <v>67</v>
      </c>
      <c r="V107" t="s">
        <v>67</v>
      </c>
      <c r="W107" t="str">
        <f t="shared" si="19"/>
        <v>ZakelijkNeeNee</v>
      </c>
      <c r="X107" s="419" t="s">
        <v>437</v>
      </c>
    </row>
    <row r="108" spans="19:24">
      <c r="S108" s="87" t="s">
        <v>636</v>
      </c>
      <c r="T108" t="s">
        <v>433</v>
      </c>
      <c r="U108" t="s">
        <v>67</v>
      </c>
      <c r="V108" t="s">
        <v>67</v>
      </c>
      <c r="W108" t="str">
        <f t="shared" si="19"/>
        <v>ZakelijkNeeNee</v>
      </c>
      <c r="X108" s="419" t="s">
        <v>437</v>
      </c>
    </row>
    <row r="109" spans="19:24">
      <c r="S109" s="87" t="s">
        <v>637</v>
      </c>
      <c r="T109" t="s">
        <v>433</v>
      </c>
      <c r="U109" t="s">
        <v>67</v>
      </c>
      <c r="V109" t="s">
        <v>67</v>
      </c>
      <c r="W109" t="str">
        <f t="shared" si="19"/>
        <v>ZakelijkNeeNee</v>
      </c>
      <c r="X109" s="419" t="s">
        <v>437</v>
      </c>
    </row>
    <row r="110" spans="19:24">
      <c r="S110" s="87" t="s">
        <v>638</v>
      </c>
      <c r="T110" t="s">
        <v>433</v>
      </c>
      <c r="U110" t="s">
        <v>67</v>
      </c>
      <c r="V110" t="s">
        <v>67</v>
      </c>
      <c r="W110" t="str">
        <f t="shared" si="19"/>
        <v>ZakelijkNeeNee</v>
      </c>
      <c r="X110" s="419" t="s">
        <v>437</v>
      </c>
    </row>
    <row r="111" spans="19:24">
      <c r="S111" s="87" t="s">
        <v>639</v>
      </c>
      <c r="T111" t="s">
        <v>433</v>
      </c>
      <c r="U111" t="s">
        <v>67</v>
      </c>
      <c r="V111" t="s">
        <v>67</v>
      </c>
      <c r="W111" t="str">
        <f t="shared" ref="W111" si="20">T111&amp;U111&amp;V111</f>
        <v>ZakelijkNeeNee</v>
      </c>
      <c r="X111" s="421" t="s">
        <v>631</v>
      </c>
    </row>
    <row r="112" spans="19:24">
      <c r="S112" s="87" t="s">
        <v>643</v>
      </c>
      <c r="T112" t="s">
        <v>433</v>
      </c>
      <c r="U112" t="s">
        <v>67</v>
      </c>
      <c r="V112" t="s">
        <v>67</v>
      </c>
      <c r="W112" t="str">
        <f t="shared" si="19"/>
        <v>ZakelijkNeeNee</v>
      </c>
      <c r="X112" s="423">
        <v>0</v>
      </c>
    </row>
    <row r="114" spans="19:24">
      <c r="S114" s="420" t="s">
        <v>640</v>
      </c>
      <c r="T114" s="173" t="s">
        <v>434</v>
      </c>
      <c r="U114" s="173" t="s">
        <v>304</v>
      </c>
      <c r="V114" s="173" t="s">
        <v>428</v>
      </c>
      <c r="W114" s="173" t="s">
        <v>436</v>
      </c>
    </row>
    <row r="115" spans="19:24">
      <c r="S115" s="87" t="s">
        <v>633</v>
      </c>
      <c r="T115" t="s">
        <v>433</v>
      </c>
      <c r="U115" t="s">
        <v>67</v>
      </c>
      <c r="V115" t="s">
        <v>52</v>
      </c>
      <c r="W115" t="str">
        <f>T115&amp;U115&amp;V115</f>
        <v>ZakelijkNeeJa</v>
      </c>
      <c r="X115" s="419" t="str">
        <f>J3</f>
        <v>Geen teruggave BTW op aanschaf batterijen.</v>
      </c>
    </row>
    <row r="116" spans="19:24">
      <c r="S116" s="87" t="s">
        <v>634</v>
      </c>
      <c r="T116" t="s">
        <v>433</v>
      </c>
      <c r="U116" t="s">
        <v>67</v>
      </c>
      <c r="V116" t="s">
        <v>52</v>
      </c>
      <c r="W116" t="str">
        <f t="shared" ref="W116:W122" si="21">T116&amp;U116&amp;V116</f>
        <v>ZakelijkNeeJa</v>
      </c>
      <c r="X116" s="419" t="s">
        <v>437</v>
      </c>
    </row>
    <row r="117" spans="19:24">
      <c r="S117" s="87" t="s">
        <v>635</v>
      </c>
      <c r="T117" t="s">
        <v>433</v>
      </c>
      <c r="U117" t="s">
        <v>67</v>
      </c>
      <c r="V117" t="s">
        <v>52</v>
      </c>
      <c r="W117" t="str">
        <f t="shared" si="21"/>
        <v>ZakelijkNeeJa</v>
      </c>
      <c r="X117" s="419" t="s">
        <v>437</v>
      </c>
    </row>
    <row r="118" spans="19:24">
      <c r="S118" s="87" t="s">
        <v>636</v>
      </c>
      <c r="T118" t="s">
        <v>433</v>
      </c>
      <c r="U118" t="s">
        <v>67</v>
      </c>
      <c r="V118" t="s">
        <v>52</v>
      </c>
      <c r="W118" t="str">
        <f t="shared" si="21"/>
        <v>ZakelijkNeeJa</v>
      </c>
      <c r="X118" s="419" t="s">
        <v>437</v>
      </c>
    </row>
    <row r="119" spans="19:24">
      <c r="S119" s="87" t="s">
        <v>637</v>
      </c>
      <c r="T119" t="s">
        <v>433</v>
      </c>
      <c r="U119" t="s">
        <v>67</v>
      </c>
      <c r="V119" t="s">
        <v>52</v>
      </c>
      <c r="W119" t="str">
        <f t="shared" si="21"/>
        <v>ZakelijkNeeJa</v>
      </c>
      <c r="X119" s="419" t="s">
        <v>437</v>
      </c>
    </row>
    <row r="120" spans="19:24">
      <c r="S120" s="87" t="s">
        <v>638</v>
      </c>
      <c r="T120" t="s">
        <v>433</v>
      </c>
      <c r="U120" t="s">
        <v>67</v>
      </c>
      <c r="V120" t="s">
        <v>52</v>
      </c>
      <c r="W120" t="str">
        <f t="shared" si="21"/>
        <v>ZakelijkNeeJa</v>
      </c>
      <c r="X120" s="419" t="s">
        <v>437</v>
      </c>
    </row>
    <row r="121" spans="19:24">
      <c r="S121" s="87" t="s">
        <v>639</v>
      </c>
      <c r="T121" t="s">
        <v>433</v>
      </c>
      <c r="U121" t="s">
        <v>67</v>
      </c>
      <c r="V121" t="s">
        <v>52</v>
      </c>
      <c r="W121" t="str">
        <f t="shared" ref="W121" si="22">T121&amp;U121&amp;V121</f>
        <v>ZakelijkNeeJa</v>
      </c>
      <c r="X121" s="421" t="s">
        <v>631</v>
      </c>
    </row>
    <row r="122" spans="19:24">
      <c r="S122" s="87" t="s">
        <v>643</v>
      </c>
      <c r="T122" t="s">
        <v>433</v>
      </c>
      <c r="U122" t="s">
        <v>67</v>
      </c>
      <c r="V122" t="s">
        <v>52</v>
      </c>
      <c r="W122" t="str">
        <f t="shared" si="21"/>
        <v>ZakelijkNeeJa</v>
      </c>
      <c r="X122" s="423">
        <v>0</v>
      </c>
    </row>
  </sheetData>
  <pageMargins left="0.7" right="0.7" top="0.75" bottom="0.75"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AC820-F703-4017-A68B-FA50AE164A06}">
  <sheetPr>
    <pageSetUpPr fitToPage="1"/>
  </sheetPr>
  <dimension ref="A1:AF35"/>
  <sheetViews>
    <sheetView workbookViewId="0">
      <selection activeCell="H14" sqref="H14"/>
    </sheetView>
  </sheetViews>
  <sheetFormatPr baseColWidth="10" defaultColWidth="9" defaultRowHeight="16"/>
  <cols>
    <col min="1" max="3" width="9" style="46"/>
    <col min="4" max="4" width="9" style="44"/>
    <col min="5" max="5" width="10.1640625" style="45" bestFit="1" customWidth="1"/>
    <col min="6" max="6" width="9" style="46"/>
    <col min="7" max="7" width="10.6640625" style="61" bestFit="1" customWidth="1"/>
    <col min="8" max="8" width="9.6640625" style="48" bestFit="1" customWidth="1"/>
    <col min="9" max="9" width="9" style="44"/>
    <col min="10" max="10" width="9.6640625" style="45" bestFit="1" customWidth="1"/>
    <col min="11" max="11" width="9" style="46"/>
    <col min="12" max="12" width="9" style="48"/>
    <col min="13" max="13" width="9" style="49"/>
    <col min="14" max="14" width="4.1640625" style="49" customWidth="1"/>
    <col min="15" max="16" width="10.5" style="48" bestFit="1" customWidth="1"/>
    <col min="17" max="18" width="9.6640625" style="61" bestFit="1" customWidth="1"/>
    <col min="19" max="19" width="9.6640625" style="61" customWidth="1"/>
    <col min="20" max="20" width="4.1640625" style="49" customWidth="1"/>
    <col min="21" max="21" width="9.6640625" style="154" customWidth="1"/>
    <col min="23" max="23" width="4.1640625" style="49" customWidth="1"/>
    <col min="24" max="24" width="9.6640625" style="61" bestFit="1" customWidth="1"/>
    <col min="25" max="25" width="4.1640625" style="49" customWidth="1"/>
    <col min="26" max="26" width="9" style="48"/>
    <col min="27" max="27" width="4.1640625" style="49" customWidth="1"/>
    <col min="28" max="28" width="9" style="48"/>
    <col min="29" max="29" width="4.1640625" style="49" customWidth="1"/>
    <col min="30" max="30" width="9" style="48"/>
    <col min="31" max="31" width="4.1640625" style="49" customWidth="1"/>
    <col min="32" max="16384" width="9" style="48"/>
  </cols>
  <sheetData>
    <row r="1" spans="1:32">
      <c r="T1" s="61"/>
      <c r="W1" s="61"/>
      <c r="X1" s="49"/>
      <c r="Y1" s="48"/>
      <c r="Z1" s="49"/>
      <c r="AA1" s="48"/>
      <c r="AB1" s="49"/>
      <c r="AC1" s="48"/>
      <c r="AD1" s="49"/>
      <c r="AE1" s="48"/>
    </row>
    <row r="2" spans="1:32">
      <c r="L2" s="187" t="s">
        <v>496</v>
      </c>
      <c r="M2" s="63">
        <f>IF(ISNUMBER(Calculator!R77),Calculator!R77,E3)</f>
        <v>54789</v>
      </c>
      <c r="T2" s="47"/>
      <c r="W2" s="47"/>
    </row>
    <row r="3" spans="1:32">
      <c r="D3" s="62" t="s">
        <v>277</v>
      </c>
      <c r="E3" s="63">
        <f ca="1">IF(ISNUMBER(Calculator!R110),Calculator!R110,NOW())</f>
        <v>45992</v>
      </c>
      <c r="F3" s="53">
        <f ca="1">MONTH(E3)+1</f>
        <v>13</v>
      </c>
      <c r="I3" s="49"/>
      <c r="J3" s="48"/>
      <c r="K3" s="48"/>
      <c r="L3" s="98" t="s">
        <v>329</v>
      </c>
      <c r="M3" s="185">
        <f ca="1">IF(M2&lt;E3,0,M2-E3)</f>
        <v>8797</v>
      </c>
      <c r="O3" s="48" t="str">
        <f ca="1">IF(M3=0,"al van gas af bij installatie batterijen", "")</f>
        <v/>
      </c>
      <c r="T3" s="47"/>
      <c r="W3" s="47"/>
    </row>
    <row r="4" spans="1:32">
      <c r="D4" s="51"/>
      <c r="E4" s="46"/>
      <c r="F4" s="51"/>
      <c r="I4" s="55"/>
      <c r="J4" s="48"/>
      <c r="K4" s="48"/>
      <c r="L4" s="55"/>
      <c r="M4" s="57"/>
    </row>
    <row r="5" spans="1:32">
      <c r="D5" s="62" t="s">
        <v>278</v>
      </c>
      <c r="E5" s="53">
        <f ca="1">YEAR(E3)</f>
        <v>2025</v>
      </c>
      <c r="F5" s="51"/>
      <c r="I5" s="58"/>
      <c r="J5" s="48"/>
      <c r="K5" s="48"/>
      <c r="L5" s="98" t="s">
        <v>548</v>
      </c>
      <c r="M5" s="52" t="str">
        <f>IF(Calculator!R25&lt;&gt;"Dynamisch","nee","ja")</f>
        <v>nee</v>
      </c>
      <c r="N5" s="217"/>
      <c r="O5" s="218"/>
      <c r="T5" s="47"/>
      <c r="W5" s="47"/>
    </row>
    <row r="6" spans="1:32">
      <c r="D6" s="59"/>
      <c r="E6" s="52"/>
      <c r="F6" s="59"/>
      <c r="I6" s="58"/>
      <c r="J6" s="48"/>
      <c r="K6" s="48"/>
      <c r="L6" s="58"/>
      <c r="M6" s="155"/>
      <c r="T6" s="47"/>
      <c r="W6" s="47"/>
    </row>
    <row r="7" spans="1:32">
      <c r="B7"/>
      <c r="D7" s="64" t="s">
        <v>318</v>
      </c>
      <c r="E7" s="47">
        <f ca="1">Opbrengsten!C5</f>
        <v>8.4931506849315067E-2</v>
      </c>
      <c r="F7" s="47">
        <f ca="1">1-E7</f>
        <v>0.91506849315068495</v>
      </c>
      <c r="I7" s="55"/>
      <c r="J7" s="48"/>
      <c r="K7" s="48"/>
      <c r="L7" s="57" t="s">
        <v>549</v>
      </c>
      <c r="M7" s="50">
        <f>IF(M5="nee",Stamgegevens!R2,0)</f>
        <v>2026</v>
      </c>
      <c r="T7" s="61"/>
      <c r="W7" s="61"/>
      <c r="X7" s="49"/>
      <c r="Y7" s="48"/>
      <c r="Z7" s="49"/>
      <c r="AA7" s="48"/>
      <c r="AB7" s="49"/>
      <c r="AC7" s="48"/>
      <c r="AD7" s="49"/>
      <c r="AE7" s="48"/>
    </row>
    <row r="8" spans="1:32">
      <c r="B8"/>
      <c r="D8" s="64"/>
      <c r="E8" s="52"/>
      <c r="F8" s="44"/>
      <c r="T8" s="61"/>
      <c r="W8" s="61"/>
      <c r="X8" s="49"/>
      <c r="Y8" s="48"/>
      <c r="Z8" s="49"/>
      <c r="AA8" s="48"/>
      <c r="AB8" s="49"/>
      <c r="AC8" s="48"/>
      <c r="AD8" s="49"/>
      <c r="AE8" s="48"/>
    </row>
    <row r="9" spans="1:32" s="54" customFormat="1" ht="15">
      <c r="A9" s="50"/>
      <c r="B9" s="50"/>
      <c r="C9" s="50"/>
      <c r="D9" s="47"/>
      <c r="F9" s="51"/>
      <c r="L9" s="127" t="s">
        <v>343</v>
      </c>
      <c r="M9" s="51">
        <f ca="1">VLOOKUP($A14,Stamgegevens!$A$8:$AE$36,Stamgegevens!$J$1)</f>
        <v>0.12286</v>
      </c>
      <c r="T9" s="66"/>
      <c r="U9" s="154"/>
      <c r="W9" s="66"/>
      <c r="AA9" s="66"/>
      <c r="AC9" s="68"/>
      <c r="AE9" s="47"/>
    </row>
    <row r="10" spans="1:32" s="54" customFormat="1" ht="15">
      <c r="A10" s="50"/>
      <c r="B10" s="50"/>
      <c r="C10" s="50"/>
      <c r="D10" s="47"/>
      <c r="F10" s="51"/>
      <c r="G10" s="52"/>
      <c r="H10" s="48"/>
      <c r="I10" s="62"/>
      <c r="J10" s="45"/>
      <c r="L10" s="69"/>
      <c r="M10" s="69"/>
      <c r="O10" s="66" t="s">
        <v>546</v>
      </c>
      <c r="P10" s="66" t="s">
        <v>546</v>
      </c>
      <c r="Q10" s="66"/>
      <c r="R10" s="66" t="s">
        <v>296</v>
      </c>
      <c r="S10" s="66"/>
      <c r="T10" s="66"/>
      <c r="U10" s="154"/>
      <c r="W10" s="66"/>
      <c r="Y10" s="67"/>
      <c r="Z10" s="67" t="s">
        <v>272</v>
      </c>
      <c r="AA10" s="66"/>
      <c r="AC10" s="68"/>
      <c r="AE10" s="47"/>
    </row>
    <row r="11" spans="1:32" s="57" customFormat="1" ht="15">
      <c r="A11" s="50"/>
      <c r="B11" s="50"/>
      <c r="C11" s="56"/>
      <c r="D11" s="47"/>
      <c r="F11" s="51" t="s">
        <v>268</v>
      </c>
      <c r="G11" s="52"/>
      <c r="H11" s="51" t="s">
        <v>268</v>
      </c>
      <c r="I11" s="47"/>
      <c r="J11" s="51" t="s">
        <v>268</v>
      </c>
      <c r="L11" s="69" t="s">
        <v>283</v>
      </c>
      <c r="M11" s="69" t="s">
        <v>283</v>
      </c>
      <c r="O11" s="67" t="s">
        <v>285</v>
      </c>
      <c r="P11" s="67" t="s">
        <v>351</v>
      </c>
      <c r="Q11" s="67" t="s">
        <v>285</v>
      </c>
      <c r="R11" s="67" t="s">
        <v>285</v>
      </c>
      <c r="S11" s="67" t="s">
        <v>351</v>
      </c>
      <c r="U11" s="185" t="s">
        <v>410</v>
      </c>
      <c r="V11" s="185" t="s">
        <v>410</v>
      </c>
      <c r="X11" s="67" t="s">
        <v>288</v>
      </c>
      <c r="Z11" s="53" t="s">
        <v>297</v>
      </c>
      <c r="AB11" s="67" t="s">
        <v>293</v>
      </c>
      <c r="AD11" s="70" t="s">
        <v>272</v>
      </c>
      <c r="AF11" s="47" t="s">
        <v>298</v>
      </c>
    </row>
    <row r="12" spans="1:32" s="57" customFormat="1" ht="15">
      <c r="A12" s="50"/>
      <c r="B12" s="50"/>
      <c r="C12" s="56"/>
      <c r="D12" s="47" t="s">
        <v>279</v>
      </c>
      <c r="F12" s="51" t="s">
        <v>270</v>
      </c>
      <c r="G12" s="52" t="s">
        <v>271</v>
      </c>
      <c r="H12" s="51" t="s">
        <v>270</v>
      </c>
      <c r="I12" s="47" t="s">
        <v>292</v>
      </c>
      <c r="J12" s="51" t="s">
        <v>270</v>
      </c>
      <c r="L12" s="69" t="s">
        <v>282</v>
      </c>
      <c r="M12" s="69" t="s">
        <v>284</v>
      </c>
      <c r="O12" s="66" t="s">
        <v>276</v>
      </c>
      <c r="P12" s="66" t="s">
        <v>276</v>
      </c>
      <c r="Q12" s="66" t="s">
        <v>276</v>
      </c>
      <c r="R12" s="66" t="s">
        <v>276</v>
      </c>
      <c r="S12" s="66" t="s">
        <v>290</v>
      </c>
      <c r="U12" s="186" t="s">
        <v>478</v>
      </c>
      <c r="V12" s="185" t="s">
        <v>470</v>
      </c>
      <c r="X12" s="66" t="s">
        <v>289</v>
      </c>
      <c r="Z12" s="66" t="s">
        <v>290</v>
      </c>
      <c r="AB12" s="66" t="s">
        <v>294</v>
      </c>
      <c r="AD12" s="69" t="s">
        <v>297</v>
      </c>
      <c r="AF12" s="47" t="s">
        <v>299</v>
      </c>
    </row>
    <row r="13" spans="1:32" s="57" customFormat="1" ht="15">
      <c r="A13" s="89" t="s">
        <v>320</v>
      </c>
      <c r="B13" s="89"/>
      <c r="C13" s="56"/>
      <c r="D13" s="47" t="s">
        <v>269</v>
      </c>
      <c r="F13" s="59" t="s">
        <v>273</v>
      </c>
      <c r="G13" s="52" t="s">
        <v>274</v>
      </c>
      <c r="H13" s="59" t="s">
        <v>273</v>
      </c>
      <c r="I13" s="47" t="s">
        <v>275</v>
      </c>
      <c r="J13" s="59" t="s">
        <v>389</v>
      </c>
      <c r="L13" s="70" t="s">
        <v>281</v>
      </c>
      <c r="M13" s="70" t="s">
        <v>281</v>
      </c>
      <c r="O13" s="66" t="s">
        <v>286</v>
      </c>
      <c r="P13" s="66" t="s">
        <v>286</v>
      </c>
      <c r="Q13" s="66" t="s">
        <v>287</v>
      </c>
      <c r="R13" s="66" t="s">
        <v>287</v>
      </c>
      <c r="S13" s="66" t="s">
        <v>291</v>
      </c>
      <c r="U13" s="185" t="s">
        <v>471</v>
      </c>
      <c r="V13" s="186" t="s">
        <v>472</v>
      </c>
      <c r="X13" s="66" t="s">
        <v>284</v>
      </c>
      <c r="Z13" s="66" t="s">
        <v>291</v>
      </c>
      <c r="AB13" s="66" t="s">
        <v>295</v>
      </c>
      <c r="AD13" s="70" t="s">
        <v>296</v>
      </c>
      <c r="AF13" s="53" t="s">
        <v>300</v>
      </c>
    </row>
    <row r="14" spans="1:32">
      <c r="A14" s="46">
        <f ca="1">E5</f>
        <v>2025</v>
      </c>
      <c r="B14" s="87">
        <v>1</v>
      </c>
      <c r="D14" s="61">
        <f ca="1">VLOOKUP($A14,Stamgegevens!$A$8:$AE$36,Stamgegevens!$H$1)</f>
        <v>3.2000000000000001E-2</v>
      </c>
      <c r="F14" s="44">
        <f ca="1">VLOOKUP($A14,Stamgegevens!$A$8:$AE$36,Stamgegevens!$J$1)</f>
        <v>0.12286</v>
      </c>
      <c r="G14" s="45">
        <f ca="1">VLOOKUP($A14,Stamgegevens!$A$8:$AE$36,Stamgegevens!$K$1)</f>
        <v>10000</v>
      </c>
      <c r="H14" s="44">
        <f ca="1">VLOOKUP($A14,Stamgegevens!$A$8:$AE$36,Stamgegevens!$L$1)</f>
        <v>8.3940000000000001E-2</v>
      </c>
      <c r="I14" s="61">
        <f ca="1">VLOOKUP($A14,Stamgegevens!$A$8:$AE$36,Stamgegevens!$N$1)</f>
        <v>1</v>
      </c>
      <c r="J14" s="44">
        <f ca="1">F14*I14</f>
        <v>0.12286</v>
      </c>
      <c r="K14" s="61"/>
      <c r="L14" s="44">
        <f ca="1">VLOOKUP($A14,Stamgegevens!$A$8:$AE$36,Stamgegevens!$P$1)</f>
        <v>5.99</v>
      </c>
      <c r="M14" s="44">
        <f ca="1">VLOOKUP($A14,Stamgegevens!$A$8:$AE$36,Stamgegevens!$Q$1)</f>
        <v>5.99</v>
      </c>
      <c r="N14" s="44"/>
      <c r="O14" s="44">
        <f ca="1">VLOOKUP($A14,Stamgegevens!$A$8:$AE$36,Stamgegevens!$S$1)</f>
        <v>0.01</v>
      </c>
      <c r="P14" s="44">
        <f>VLOOKUP(Calculator!R112,Keuzemenu!C24:E26,2)</f>
        <v>0.02</v>
      </c>
      <c r="Q14" s="44">
        <f ca="1">VLOOKUP($A14,Stamgegevens!$A$8:$AE$36,Stamgegevens!$U$1)</f>
        <v>0</v>
      </c>
      <c r="R14" s="44">
        <f ca="1">VLOOKUP($A14,Stamgegevens!$A$8:$AE$36,Stamgegevens!$T$1)</f>
        <v>0.15</v>
      </c>
      <c r="S14" s="44">
        <f>VLOOKUP(Calculator!R112,Keuzemenu!C24:E26,3)</f>
        <v>0</v>
      </c>
      <c r="T14" s="44"/>
      <c r="U14" s="154">
        <f ca="1">IF($M$3=0,$M$3,$M$3-365*$E$7)</f>
        <v>8766</v>
      </c>
      <c r="V14" s="154"/>
      <c r="W14" s="44"/>
      <c r="X14" s="44">
        <f ca="1">VLOOKUP($A14,Stamgegevens!$A$8:$AE$36,Stamgegevens!$W$1)</f>
        <v>3.5</v>
      </c>
      <c r="Y14" s="44"/>
      <c r="Z14" s="44">
        <f ca="1">VLOOKUP($A14,Stamgegevens!$A$8:$AE$36,Stamgegevens!$Y$1)</f>
        <v>-0.02</v>
      </c>
      <c r="AA14" s="44"/>
      <c r="AB14" s="88">
        <f ca="1">VLOOKUP($A14,Stamgegevens!$A$8:$AE$36,Stamgegevens!$AA$1)</f>
        <v>14</v>
      </c>
      <c r="AC14" s="44"/>
      <c r="AD14" s="44">
        <f ca="1">VLOOKUP($A14,Stamgegevens!$A$8:$AE$36,Stamgegevens!$AC$1)</f>
        <v>0.2</v>
      </c>
      <c r="AE14" s="44"/>
      <c r="AF14" s="61">
        <f ca="1">VLOOKUP($A14,Stamgegevens!$A$8:$AE$36,Stamgegevens!$AE$1)</f>
        <v>0.85</v>
      </c>
    </row>
    <row r="15" spans="1:32">
      <c r="A15" s="46">
        <f ca="1">A14+1</f>
        <v>2026</v>
      </c>
      <c r="B15" s="87">
        <v>2</v>
      </c>
      <c r="D15" s="61">
        <f ca="1">VLOOKUP($A15,Stamgegevens!$A$8:$AE$36,Stamgegevens!$H$1)</f>
        <v>2.8000000000000001E-2</v>
      </c>
      <c r="F15" s="44">
        <f ca="1">VLOOKUP($A15,Stamgegevens!$A$8:$AE$36,Stamgegevens!$J$1)</f>
        <v>0.11046</v>
      </c>
      <c r="G15" s="45">
        <f ca="1">VLOOKUP($A15,Stamgegevens!$A$8:$AE$36,Stamgegevens!$K$1)</f>
        <v>10000</v>
      </c>
      <c r="H15" s="44">
        <f ca="1">VLOOKUP($A15,Stamgegevens!$A$8:$AE$36,Stamgegevens!$L$1)</f>
        <v>8.3940000000000001E-2</v>
      </c>
      <c r="I15" s="61">
        <f ca="1">VLOOKUP($A15,Stamgegevens!$A$8:$AE$36,Stamgegevens!$N$1)</f>
        <v>1</v>
      </c>
      <c r="J15" s="44">
        <f t="shared" ref="J15:J34" ca="1" si="0">F15*I15</f>
        <v>0.11046</v>
      </c>
      <c r="K15" s="61"/>
      <c r="L15" s="44">
        <f ca="1">VLOOKUP($A15,Stamgegevens!$A$8:$AE$36,Stamgegevens!$P$1)</f>
        <v>6.1816800000000001</v>
      </c>
      <c r="M15" s="44">
        <f ca="1">VLOOKUP($A15,Stamgegevens!$A$8:$AE$36,Stamgegevens!$Q$1)</f>
        <v>6.1816800000000001</v>
      </c>
      <c r="N15" s="44"/>
      <c r="O15" s="44">
        <f ca="1">VLOOKUP($A15,Stamgegevens!$A$8:$AE$36,Stamgegevens!$S$1)</f>
        <v>1.0320000000000001E-2</v>
      </c>
      <c r="P15" s="44">
        <f>P14</f>
        <v>0.02</v>
      </c>
      <c r="Q15" s="44">
        <f ca="1">VLOOKUP($A15,Stamgegevens!$A$8:$AE$36,Stamgegevens!$U$1)</f>
        <v>0</v>
      </c>
      <c r="R15" s="44">
        <f ca="1">VLOOKUP($A15,Stamgegevens!$A$8:$AE$36,Stamgegevens!$T$1)</f>
        <v>0.15479999999999999</v>
      </c>
      <c r="S15" s="44">
        <f>S14</f>
        <v>0</v>
      </c>
      <c r="T15" s="44"/>
      <c r="U15" s="154">
        <f t="shared" ref="U15:U35" ca="1" si="1">IF($M$3=0,$M$3,U14-365)</f>
        <v>8401</v>
      </c>
      <c r="V15" s="154"/>
      <c r="W15" s="44"/>
      <c r="X15" s="44">
        <f ca="1">VLOOKUP($A15,Stamgegevens!$A$8:$AE$36,Stamgegevens!$W$1)</f>
        <v>3.5</v>
      </c>
      <c r="Y15" s="44"/>
      <c r="Z15" s="44">
        <f ca="1">VLOOKUP($A15,Stamgegevens!$A$8:$AE$36,Stamgegevens!$Y$1)</f>
        <v>-0.02</v>
      </c>
      <c r="AA15" s="44"/>
      <c r="AB15" s="88">
        <f ca="1">VLOOKUP($A15,Stamgegevens!$A$8:$AE$36,Stamgegevens!$AA$1)</f>
        <v>14</v>
      </c>
      <c r="AC15" s="44"/>
      <c r="AD15" s="44">
        <f ca="1">VLOOKUP($A15,Stamgegevens!$A$8:$AE$36,Stamgegevens!$AC$1)</f>
        <v>0.2</v>
      </c>
      <c r="AE15" s="44"/>
      <c r="AF15" s="61">
        <f ca="1">VLOOKUP($A15,Stamgegevens!$A$8:$AE$36,Stamgegevens!$AE$1)</f>
        <v>0.85</v>
      </c>
    </row>
    <row r="16" spans="1:32">
      <c r="A16" s="46">
        <f t="shared" ref="A16:A35" ca="1" si="2">A15+1</f>
        <v>2027</v>
      </c>
      <c r="B16" s="87">
        <v>3</v>
      </c>
      <c r="D16" s="61">
        <f ca="1">VLOOKUP($A16,Stamgegevens!$A$8:$AE$36,Stamgegevens!$H$1)</f>
        <v>2.5000000000000001E-2</v>
      </c>
      <c r="F16" s="44">
        <f ca="1">VLOOKUP($A16,Stamgegevens!$A$8:$AE$36,Stamgegevens!$J$1)</f>
        <v>0.11046</v>
      </c>
      <c r="G16" s="45">
        <f ca="1">VLOOKUP($A16,Stamgegevens!$A$8:$AE$36,Stamgegevens!$K$1)</f>
        <v>10000</v>
      </c>
      <c r="H16" s="44">
        <f ca="1">VLOOKUP($A16,Stamgegevens!$A$8:$AE$36,Stamgegevens!$L$1)</f>
        <v>8.3940000000000001E-2</v>
      </c>
      <c r="I16" s="61">
        <f ca="1">VLOOKUP($A16,Stamgegevens!$A$8:$AE$36,Stamgegevens!$N$1)</f>
        <v>0</v>
      </c>
      <c r="J16" s="44">
        <f t="shared" ca="1" si="0"/>
        <v>0</v>
      </c>
      <c r="K16" s="61"/>
      <c r="L16" s="44">
        <f ca="1">VLOOKUP($A16,Stamgegevens!$A$8:$AE$36,Stamgegevens!$P$1)</f>
        <v>6.3547670400000005</v>
      </c>
      <c r="M16" s="44">
        <f ca="1">VLOOKUP($A16,Stamgegevens!$A$8:$AE$36,Stamgegevens!$Q$1)</f>
        <v>6.3547670400000005</v>
      </c>
      <c r="N16" s="44"/>
      <c r="O16" s="44">
        <f ca="1">VLOOKUP($A16,Stamgegevens!$A$8:$AE$36,Stamgegevens!$S$1)</f>
        <v>1.0608960000000001E-2</v>
      </c>
      <c r="P16" s="44">
        <f t="shared" ref="P16:P35" si="3">P15</f>
        <v>0.02</v>
      </c>
      <c r="Q16" s="44">
        <f ca="1">VLOOKUP($A16,Stamgegevens!$A$8:$AE$36,Stamgegevens!$U$1)</f>
        <v>0</v>
      </c>
      <c r="R16" s="44">
        <f ca="1">VLOOKUP($A16,Stamgegevens!$A$8:$AE$36,Stamgegevens!$T$1)</f>
        <v>0.15913440000000001</v>
      </c>
      <c r="S16" s="44">
        <f t="shared" ref="S16:S35" si="4">S15</f>
        <v>0</v>
      </c>
      <c r="T16" s="44"/>
      <c r="U16" s="154">
        <f t="shared" ca="1" si="1"/>
        <v>8036</v>
      </c>
      <c r="V16" s="154"/>
      <c r="W16" s="44"/>
      <c r="X16" s="44">
        <f ca="1">VLOOKUP($A16,Stamgegevens!$A$8:$AE$36,Stamgegevens!$W$1)</f>
        <v>3.5</v>
      </c>
      <c r="Y16" s="44"/>
      <c r="Z16" s="44">
        <f ca="1">VLOOKUP($A16,Stamgegevens!$A$8:$AE$36,Stamgegevens!$Y$1)</f>
        <v>-0.02</v>
      </c>
      <c r="AA16" s="44"/>
      <c r="AB16" s="88">
        <f ca="1">VLOOKUP($A16,Stamgegevens!$A$8:$AE$36,Stamgegevens!$AA$1)</f>
        <v>14</v>
      </c>
      <c r="AC16" s="44"/>
      <c r="AD16" s="44">
        <f ca="1">VLOOKUP($A16,Stamgegevens!$A$8:$AE$36,Stamgegevens!$AC$1)</f>
        <v>0.2</v>
      </c>
      <c r="AE16" s="44"/>
      <c r="AF16" s="61">
        <f ca="1">VLOOKUP($A16,Stamgegevens!$A$8:$AE$36,Stamgegevens!$AE$1)</f>
        <v>0.85</v>
      </c>
    </row>
    <row r="17" spans="1:32">
      <c r="A17" s="46">
        <f t="shared" ca="1" si="2"/>
        <v>2028</v>
      </c>
      <c r="B17" s="87">
        <v>4</v>
      </c>
      <c r="D17" s="61">
        <f ca="1">VLOOKUP($A17,Stamgegevens!$A$8:$AE$36,Stamgegevens!$H$1)</f>
        <v>2.5000000000000001E-2</v>
      </c>
      <c r="F17" s="44">
        <f ca="1">VLOOKUP($A17,Stamgegevens!$A$8:$AE$36,Stamgegevens!$J$1)</f>
        <v>0.11046</v>
      </c>
      <c r="G17" s="45">
        <f ca="1">VLOOKUP($A17,Stamgegevens!$A$8:$AE$36,Stamgegevens!$K$1)</f>
        <v>10000</v>
      </c>
      <c r="H17" s="44">
        <f ca="1">VLOOKUP($A17,Stamgegevens!$A$8:$AE$36,Stamgegevens!$L$1)</f>
        <v>8.3940000000000001E-2</v>
      </c>
      <c r="I17" s="61">
        <f ca="1">VLOOKUP($A17,Stamgegevens!$A$8:$AE$36,Stamgegevens!$N$1)</f>
        <v>0</v>
      </c>
      <c r="J17" s="44">
        <f t="shared" ca="1" si="0"/>
        <v>0</v>
      </c>
      <c r="K17" s="61"/>
      <c r="L17" s="44">
        <f ca="1">VLOOKUP($A17,Stamgegevens!$A$8:$AE$36,Stamgegevens!$P$1)</f>
        <v>6.5136362160000001</v>
      </c>
      <c r="M17" s="44">
        <f ca="1">VLOOKUP($A17,Stamgegevens!$A$8:$AE$36,Stamgegevens!$Q$1)</f>
        <v>6.5136362160000001</v>
      </c>
      <c r="N17" s="44"/>
      <c r="O17" s="44">
        <f ca="1">VLOOKUP($A17,Stamgegevens!$A$8:$AE$36,Stamgegevens!$S$1)</f>
        <v>1.0874184E-2</v>
      </c>
      <c r="P17" s="44">
        <f t="shared" si="3"/>
        <v>0.02</v>
      </c>
      <c r="Q17" s="44">
        <f ca="1">VLOOKUP($A17,Stamgegevens!$A$8:$AE$36,Stamgegevens!$U$1)</f>
        <v>0</v>
      </c>
      <c r="R17" s="44">
        <f ca="1">VLOOKUP($A17,Stamgegevens!$A$8:$AE$36,Stamgegevens!$T$1)</f>
        <v>0.16311276</v>
      </c>
      <c r="S17" s="44">
        <f t="shared" si="4"/>
        <v>0</v>
      </c>
      <c r="T17" s="44"/>
      <c r="U17" s="154">
        <f t="shared" ca="1" si="1"/>
        <v>7671</v>
      </c>
      <c r="V17" s="154"/>
      <c r="W17" s="44"/>
      <c r="X17" s="44">
        <f ca="1">VLOOKUP($A17,Stamgegevens!$A$8:$AE$36,Stamgegevens!$W$1)</f>
        <v>3.5</v>
      </c>
      <c r="Y17" s="44"/>
      <c r="Z17" s="44">
        <f ca="1">VLOOKUP($A17,Stamgegevens!$A$8:$AE$36,Stamgegevens!$Y$1)</f>
        <v>-0.02</v>
      </c>
      <c r="AA17" s="44"/>
      <c r="AB17" s="88">
        <f ca="1">VLOOKUP($A17,Stamgegevens!$A$8:$AE$36,Stamgegevens!$AA$1)</f>
        <v>14</v>
      </c>
      <c r="AC17" s="44"/>
      <c r="AD17" s="44">
        <f ca="1">VLOOKUP($A17,Stamgegevens!$A$8:$AE$36,Stamgegevens!$AC$1)</f>
        <v>0.2</v>
      </c>
      <c r="AE17" s="44"/>
      <c r="AF17" s="61">
        <f ca="1">VLOOKUP($A17,Stamgegevens!$A$8:$AE$36,Stamgegevens!$AE$1)</f>
        <v>0.85</v>
      </c>
    </row>
    <row r="18" spans="1:32">
      <c r="A18" s="46">
        <f t="shared" ca="1" si="2"/>
        <v>2029</v>
      </c>
      <c r="B18" s="87">
        <v>5</v>
      </c>
      <c r="D18" s="61">
        <f ca="1">VLOOKUP($A18,Stamgegevens!$A$8:$AE$36,Stamgegevens!$H$1)</f>
        <v>2.5000000000000001E-2</v>
      </c>
      <c r="F18" s="44">
        <f ca="1">VLOOKUP($A18,Stamgegevens!$A$8:$AE$36,Stamgegevens!$J$1)</f>
        <v>0.11046</v>
      </c>
      <c r="G18" s="45">
        <f ca="1">VLOOKUP($A18,Stamgegevens!$A$8:$AE$36,Stamgegevens!$K$1)</f>
        <v>10000</v>
      </c>
      <c r="H18" s="44">
        <f ca="1">VLOOKUP($A18,Stamgegevens!$A$8:$AE$36,Stamgegevens!$L$1)</f>
        <v>8.3940000000000001E-2</v>
      </c>
      <c r="I18" s="61">
        <f ca="1">VLOOKUP($A18,Stamgegevens!$A$8:$AE$36,Stamgegevens!$N$1)</f>
        <v>0</v>
      </c>
      <c r="J18" s="44">
        <f t="shared" ca="1" si="0"/>
        <v>0</v>
      </c>
      <c r="K18" s="61"/>
      <c r="L18" s="44">
        <f ca="1">VLOOKUP($A18,Stamgegevens!$A$8:$AE$36,Stamgegevens!$P$1)</f>
        <v>6.6764771213999996</v>
      </c>
      <c r="M18" s="44">
        <f ca="1">VLOOKUP($A18,Stamgegevens!$A$8:$AE$36,Stamgegevens!$Q$1)</f>
        <v>6.6764771213999996</v>
      </c>
      <c r="N18" s="44"/>
      <c r="O18" s="44">
        <f ca="1">VLOOKUP($A18,Stamgegevens!$A$8:$AE$36,Stamgegevens!$S$1)</f>
        <v>1.11460386E-2</v>
      </c>
      <c r="P18" s="44">
        <f t="shared" si="3"/>
        <v>0.02</v>
      </c>
      <c r="Q18" s="44">
        <f ca="1">VLOOKUP($A18,Stamgegevens!$A$8:$AE$36,Stamgegevens!$U$1)</f>
        <v>0</v>
      </c>
      <c r="R18" s="44">
        <f ca="1">VLOOKUP($A18,Stamgegevens!$A$8:$AE$36,Stamgegevens!$T$1)</f>
        <v>0.16719057899999998</v>
      </c>
      <c r="S18" s="44">
        <f t="shared" si="4"/>
        <v>0</v>
      </c>
      <c r="T18" s="44"/>
      <c r="U18" s="154">
        <f t="shared" ca="1" si="1"/>
        <v>7306</v>
      </c>
      <c r="V18" s="154"/>
      <c r="W18" s="44"/>
      <c r="X18" s="44">
        <f ca="1">VLOOKUP($A18,Stamgegevens!$A$8:$AE$36,Stamgegevens!$W$1)</f>
        <v>3.5</v>
      </c>
      <c r="Y18" s="44"/>
      <c r="Z18" s="44">
        <f ca="1">VLOOKUP($A18,Stamgegevens!$A$8:$AE$36,Stamgegevens!$Y$1)</f>
        <v>-0.02</v>
      </c>
      <c r="AA18" s="44"/>
      <c r="AB18" s="88">
        <f ca="1">VLOOKUP($A18,Stamgegevens!$A$8:$AE$36,Stamgegevens!$AA$1)</f>
        <v>14</v>
      </c>
      <c r="AC18" s="44"/>
      <c r="AD18" s="44">
        <f ca="1">VLOOKUP($A18,Stamgegevens!$A$8:$AE$36,Stamgegevens!$AC$1)</f>
        <v>0.2</v>
      </c>
      <c r="AE18" s="44"/>
      <c r="AF18" s="61">
        <f ca="1">VLOOKUP($A18,Stamgegevens!$A$8:$AE$36,Stamgegevens!$AE$1)</f>
        <v>0.85</v>
      </c>
    </row>
    <row r="19" spans="1:32">
      <c r="A19" s="46">
        <f t="shared" ca="1" si="2"/>
        <v>2030</v>
      </c>
      <c r="B19" s="87">
        <v>6</v>
      </c>
      <c r="D19" s="61">
        <f ca="1">VLOOKUP($A19,Stamgegevens!$A$8:$AE$36,Stamgegevens!$H$1)</f>
        <v>2.5000000000000001E-2</v>
      </c>
      <c r="F19" s="44">
        <f ca="1">VLOOKUP($A19,Stamgegevens!$A$8:$AE$36,Stamgegevens!$J$1)</f>
        <v>0.11046</v>
      </c>
      <c r="G19" s="45">
        <f ca="1">VLOOKUP($A19,Stamgegevens!$A$8:$AE$36,Stamgegevens!$K$1)</f>
        <v>10000</v>
      </c>
      <c r="H19" s="44">
        <f ca="1">VLOOKUP($A19,Stamgegevens!$A$8:$AE$36,Stamgegevens!$L$1)</f>
        <v>8.3940000000000001E-2</v>
      </c>
      <c r="I19" s="61">
        <f ca="1">VLOOKUP($A19,Stamgegevens!$A$8:$AE$36,Stamgegevens!$N$1)</f>
        <v>0</v>
      </c>
      <c r="J19" s="44">
        <f t="shared" ca="1" si="0"/>
        <v>0</v>
      </c>
      <c r="K19" s="61"/>
      <c r="L19" s="44">
        <f ca="1">VLOOKUP($A19,Stamgegevens!$A$8:$AE$36,Stamgegevens!$P$1)</f>
        <v>6.8433890494349994</v>
      </c>
      <c r="M19" s="44">
        <f ca="1">VLOOKUP($A19,Stamgegevens!$A$8:$AE$36,Stamgegevens!$Q$1)</f>
        <v>6.8433890494349994</v>
      </c>
      <c r="N19" s="44"/>
      <c r="O19" s="44">
        <f ca="1">VLOOKUP($A19,Stamgegevens!$A$8:$AE$36,Stamgegevens!$S$1)</f>
        <v>1.1424689564999998E-2</v>
      </c>
      <c r="P19" s="44">
        <f t="shared" si="3"/>
        <v>0.02</v>
      </c>
      <c r="Q19" s="44">
        <f ca="1">VLOOKUP($A19,Stamgegevens!$A$8:$AE$36,Stamgegevens!$U$1)</f>
        <v>0</v>
      </c>
      <c r="R19" s="44">
        <f ca="1">VLOOKUP($A19,Stamgegevens!$A$8:$AE$36,Stamgegevens!$T$1)</f>
        <v>0.17137034347499996</v>
      </c>
      <c r="S19" s="44">
        <f t="shared" si="4"/>
        <v>0</v>
      </c>
      <c r="T19" s="44"/>
      <c r="U19" s="154">
        <f t="shared" ca="1" si="1"/>
        <v>6941</v>
      </c>
      <c r="V19" s="154"/>
      <c r="W19" s="44"/>
      <c r="X19" s="44">
        <f ca="1">VLOOKUP($A19,Stamgegevens!$A$8:$AE$36,Stamgegevens!$W$1)</f>
        <v>3.5</v>
      </c>
      <c r="Y19" s="44"/>
      <c r="Z19" s="44">
        <f ca="1">VLOOKUP($A19,Stamgegevens!$A$8:$AE$36,Stamgegevens!$Y$1)</f>
        <v>-0.02</v>
      </c>
      <c r="AA19" s="44"/>
      <c r="AB19" s="88">
        <f ca="1">VLOOKUP($A19,Stamgegevens!$A$8:$AE$36,Stamgegevens!$AA$1)</f>
        <v>14</v>
      </c>
      <c r="AC19" s="44"/>
      <c r="AD19" s="44">
        <f ca="1">VLOOKUP($A19,Stamgegevens!$A$8:$AE$36,Stamgegevens!$AC$1)</f>
        <v>0.2</v>
      </c>
      <c r="AE19" s="44"/>
      <c r="AF19" s="61">
        <f ca="1">VLOOKUP($A19,Stamgegevens!$A$8:$AE$36,Stamgegevens!$AE$1)</f>
        <v>0.85</v>
      </c>
    </row>
    <row r="20" spans="1:32">
      <c r="A20" s="46">
        <f t="shared" ca="1" si="2"/>
        <v>2031</v>
      </c>
      <c r="B20" s="87">
        <v>7</v>
      </c>
      <c r="D20" s="61">
        <f ca="1">VLOOKUP($A20,Stamgegevens!$A$8:$AE$36,Stamgegevens!$H$1)</f>
        <v>2.5000000000000001E-2</v>
      </c>
      <c r="F20" s="44">
        <f ca="1">VLOOKUP($A20,Stamgegevens!$A$8:$AE$36,Stamgegevens!$J$1)</f>
        <v>0.11046</v>
      </c>
      <c r="G20" s="45">
        <f ca="1">VLOOKUP($A20,Stamgegevens!$A$8:$AE$36,Stamgegevens!$K$1)</f>
        <v>10000</v>
      </c>
      <c r="H20" s="44">
        <f ca="1">VLOOKUP($A20,Stamgegevens!$A$8:$AE$36,Stamgegevens!$L$1)</f>
        <v>8.3940000000000001E-2</v>
      </c>
      <c r="I20" s="61">
        <f ca="1">VLOOKUP($A20,Stamgegevens!$A$8:$AE$36,Stamgegevens!$N$1)</f>
        <v>0</v>
      </c>
      <c r="J20" s="44">
        <f t="shared" ca="1" si="0"/>
        <v>0</v>
      </c>
      <c r="K20" s="61"/>
      <c r="L20" s="44">
        <f ca="1">VLOOKUP($A20,Stamgegevens!$A$8:$AE$36,Stamgegevens!$P$1)</f>
        <v>7.0144737756708739</v>
      </c>
      <c r="M20" s="44">
        <f ca="1">VLOOKUP($A20,Stamgegevens!$A$8:$AE$36,Stamgegevens!$Q$1)</f>
        <v>7.0144737756708739</v>
      </c>
      <c r="N20" s="44"/>
      <c r="O20" s="44">
        <f ca="1">VLOOKUP($A20,Stamgegevens!$A$8:$AE$36,Stamgegevens!$S$1)</f>
        <v>1.1710306804124998E-2</v>
      </c>
      <c r="P20" s="44">
        <f t="shared" si="3"/>
        <v>0.02</v>
      </c>
      <c r="Q20" s="44">
        <f ca="1">VLOOKUP($A20,Stamgegevens!$A$8:$AE$36,Stamgegevens!$U$1)</f>
        <v>0</v>
      </c>
      <c r="R20" s="44">
        <f ca="1">VLOOKUP($A20,Stamgegevens!$A$8:$AE$36,Stamgegevens!$T$1)</f>
        <v>0.17565460206187494</v>
      </c>
      <c r="S20" s="44">
        <f t="shared" si="4"/>
        <v>0</v>
      </c>
      <c r="T20" s="44"/>
      <c r="U20" s="154">
        <f t="shared" ca="1" si="1"/>
        <v>6576</v>
      </c>
      <c r="V20" s="154"/>
      <c r="W20" s="44"/>
      <c r="X20" s="44">
        <f ca="1">VLOOKUP($A20,Stamgegevens!$A$8:$AE$36,Stamgegevens!$W$1)</f>
        <v>3.5</v>
      </c>
      <c r="Y20" s="44"/>
      <c r="Z20" s="44">
        <f ca="1">VLOOKUP($A20,Stamgegevens!$A$8:$AE$36,Stamgegevens!$Y$1)</f>
        <v>-0.02</v>
      </c>
      <c r="AA20" s="44"/>
      <c r="AB20" s="88">
        <f ca="1">VLOOKUP($A20,Stamgegevens!$A$8:$AE$36,Stamgegevens!$AA$1)</f>
        <v>14</v>
      </c>
      <c r="AC20" s="44"/>
      <c r="AD20" s="44">
        <f ca="1">VLOOKUP($A20,Stamgegevens!$A$8:$AE$36,Stamgegevens!$AC$1)</f>
        <v>0.2</v>
      </c>
      <c r="AE20" s="44"/>
      <c r="AF20" s="61">
        <f ca="1">VLOOKUP($A20,Stamgegevens!$A$8:$AE$36,Stamgegevens!$AE$1)</f>
        <v>0.85</v>
      </c>
    </row>
    <row r="21" spans="1:32">
      <c r="A21" s="46">
        <f t="shared" ca="1" si="2"/>
        <v>2032</v>
      </c>
      <c r="B21" s="87">
        <v>8</v>
      </c>
      <c r="D21" s="61">
        <f ca="1">VLOOKUP($A21,Stamgegevens!$A$8:$AE$36,Stamgegevens!$H$1)</f>
        <v>2.5000000000000001E-2</v>
      </c>
      <c r="F21" s="44">
        <f ca="1">VLOOKUP($A21,Stamgegevens!$A$8:$AE$36,Stamgegevens!$J$1)</f>
        <v>0.11046</v>
      </c>
      <c r="G21" s="45">
        <f ca="1">VLOOKUP($A21,Stamgegevens!$A$8:$AE$36,Stamgegevens!$K$1)</f>
        <v>10000</v>
      </c>
      <c r="H21" s="44">
        <f ca="1">VLOOKUP($A21,Stamgegevens!$A$8:$AE$36,Stamgegevens!$L$1)</f>
        <v>8.3940000000000001E-2</v>
      </c>
      <c r="I21" s="61">
        <f ca="1">VLOOKUP($A21,Stamgegevens!$A$8:$AE$36,Stamgegevens!$N$1)</f>
        <v>0</v>
      </c>
      <c r="J21" s="44">
        <f t="shared" ca="1" si="0"/>
        <v>0</v>
      </c>
      <c r="K21" s="61"/>
      <c r="L21" s="44">
        <f ca="1">VLOOKUP($A21,Stamgegevens!$A$8:$AE$36,Stamgegevens!$P$1)</f>
        <v>7.1898356200626452</v>
      </c>
      <c r="M21" s="44">
        <f ca="1">VLOOKUP($A21,Stamgegevens!$A$8:$AE$36,Stamgegevens!$Q$1)</f>
        <v>7.1898356200626452</v>
      </c>
      <c r="N21" s="44"/>
      <c r="O21" s="44">
        <f ca="1">VLOOKUP($A21,Stamgegevens!$A$8:$AE$36,Stamgegevens!$S$1)</f>
        <v>1.2003064474228121E-2</v>
      </c>
      <c r="P21" s="44">
        <f t="shared" si="3"/>
        <v>0.02</v>
      </c>
      <c r="Q21" s="44">
        <f ca="1">VLOOKUP($A21,Stamgegevens!$A$8:$AE$36,Stamgegevens!$U$1)</f>
        <v>0</v>
      </c>
      <c r="R21" s="44">
        <f ca="1">VLOOKUP($A21,Stamgegevens!$A$8:$AE$36,Stamgegevens!$T$1)</f>
        <v>0.1800459671134218</v>
      </c>
      <c r="S21" s="44">
        <f t="shared" si="4"/>
        <v>0</v>
      </c>
      <c r="T21" s="44"/>
      <c r="U21" s="154">
        <f t="shared" ca="1" si="1"/>
        <v>6211</v>
      </c>
      <c r="V21" s="154"/>
      <c r="W21" s="44"/>
      <c r="X21" s="44">
        <f ca="1">VLOOKUP($A21,Stamgegevens!$A$8:$AE$36,Stamgegevens!$W$1)</f>
        <v>3.5</v>
      </c>
      <c r="Y21" s="44"/>
      <c r="Z21" s="44">
        <f ca="1">VLOOKUP($A21,Stamgegevens!$A$8:$AE$36,Stamgegevens!$Y$1)</f>
        <v>-0.02</v>
      </c>
      <c r="AA21" s="44"/>
      <c r="AB21" s="88">
        <f ca="1">VLOOKUP($A21,Stamgegevens!$A$8:$AE$36,Stamgegevens!$AA$1)</f>
        <v>14</v>
      </c>
      <c r="AC21" s="44"/>
      <c r="AD21" s="44">
        <f ca="1">VLOOKUP($A21,Stamgegevens!$A$8:$AE$36,Stamgegevens!$AC$1)</f>
        <v>0.2</v>
      </c>
      <c r="AE21" s="44"/>
      <c r="AF21" s="61">
        <f ca="1">VLOOKUP($A21,Stamgegevens!$A$8:$AE$36,Stamgegevens!$AE$1)</f>
        <v>0.85</v>
      </c>
    </row>
    <row r="22" spans="1:32">
      <c r="A22" s="46">
        <f t="shared" ca="1" si="2"/>
        <v>2033</v>
      </c>
      <c r="B22" s="87">
        <v>9</v>
      </c>
      <c r="D22" s="61">
        <f ca="1">VLOOKUP($A22,Stamgegevens!$A$8:$AE$36,Stamgegevens!$H$1)</f>
        <v>2.5000000000000001E-2</v>
      </c>
      <c r="F22" s="44">
        <f ca="1">VLOOKUP($A22,Stamgegevens!$A$8:$AE$36,Stamgegevens!$J$1)</f>
        <v>0.11046</v>
      </c>
      <c r="G22" s="45">
        <f ca="1">VLOOKUP($A22,Stamgegevens!$A$8:$AE$36,Stamgegevens!$K$1)</f>
        <v>10000</v>
      </c>
      <c r="H22" s="44">
        <f ca="1">VLOOKUP($A22,Stamgegevens!$A$8:$AE$36,Stamgegevens!$L$1)</f>
        <v>8.3940000000000001E-2</v>
      </c>
      <c r="I22" s="61">
        <f ca="1">VLOOKUP($A22,Stamgegevens!$A$8:$AE$36,Stamgegevens!$N$1)</f>
        <v>0</v>
      </c>
      <c r="J22" s="44">
        <f t="shared" ca="1" si="0"/>
        <v>0</v>
      </c>
      <c r="K22" s="61"/>
      <c r="L22" s="44">
        <f ca="1">VLOOKUP($A22,Stamgegevens!$A$8:$AE$36,Stamgegevens!$P$1)</f>
        <v>7.3695815105642106</v>
      </c>
      <c r="M22" s="44">
        <f ca="1">VLOOKUP($A22,Stamgegevens!$A$8:$AE$36,Stamgegevens!$Q$1)</f>
        <v>7.3695815105642106</v>
      </c>
      <c r="N22" s="44"/>
      <c r="O22" s="44">
        <f ca="1">VLOOKUP($A22,Stamgegevens!$A$8:$AE$36,Stamgegevens!$S$1)</f>
        <v>1.2303141086083822E-2</v>
      </c>
      <c r="P22" s="44">
        <f t="shared" si="3"/>
        <v>0.02</v>
      </c>
      <c r="Q22" s="44">
        <f ca="1">VLOOKUP($A22,Stamgegevens!$A$8:$AE$36,Stamgegevens!$U$1)</f>
        <v>0</v>
      </c>
      <c r="R22" s="44">
        <f ca="1">VLOOKUP($A22,Stamgegevens!$A$8:$AE$36,Stamgegevens!$T$1)</f>
        <v>0.18454711629125733</v>
      </c>
      <c r="S22" s="44">
        <f t="shared" si="4"/>
        <v>0</v>
      </c>
      <c r="T22" s="44"/>
      <c r="U22" s="154">
        <f t="shared" ca="1" si="1"/>
        <v>5846</v>
      </c>
      <c r="V22" s="154"/>
      <c r="W22" s="44"/>
      <c r="X22" s="44">
        <f ca="1">VLOOKUP($A22,Stamgegevens!$A$8:$AE$36,Stamgegevens!$W$1)</f>
        <v>3.5</v>
      </c>
      <c r="Y22" s="44"/>
      <c r="Z22" s="44">
        <f ca="1">VLOOKUP($A22,Stamgegevens!$A$8:$AE$36,Stamgegevens!$Y$1)</f>
        <v>-0.02</v>
      </c>
      <c r="AA22" s="44"/>
      <c r="AB22" s="88">
        <f ca="1">VLOOKUP($A22,Stamgegevens!$A$8:$AE$36,Stamgegevens!$AA$1)</f>
        <v>14</v>
      </c>
      <c r="AC22" s="44"/>
      <c r="AD22" s="44">
        <f ca="1">VLOOKUP($A22,Stamgegevens!$A$8:$AE$36,Stamgegevens!$AC$1)</f>
        <v>0.2</v>
      </c>
      <c r="AE22" s="44"/>
      <c r="AF22" s="61">
        <f ca="1">VLOOKUP($A22,Stamgegevens!$A$8:$AE$36,Stamgegevens!$AE$1)</f>
        <v>0.85</v>
      </c>
    </row>
    <row r="23" spans="1:32">
      <c r="A23" s="46">
        <f t="shared" ca="1" si="2"/>
        <v>2034</v>
      </c>
      <c r="B23" s="87">
        <v>10</v>
      </c>
      <c r="D23" s="61">
        <f ca="1">VLOOKUP($A23,Stamgegevens!$A$8:$AE$36,Stamgegevens!$H$1)</f>
        <v>2.5000000000000001E-2</v>
      </c>
      <c r="F23" s="44">
        <f ca="1">VLOOKUP($A23,Stamgegevens!$A$8:$AE$36,Stamgegevens!$J$1)</f>
        <v>0.11046</v>
      </c>
      <c r="G23" s="45">
        <f ca="1">VLOOKUP($A23,Stamgegevens!$A$8:$AE$36,Stamgegevens!$K$1)</f>
        <v>10000</v>
      </c>
      <c r="H23" s="44">
        <f ca="1">VLOOKUP($A23,Stamgegevens!$A$8:$AE$36,Stamgegevens!$L$1)</f>
        <v>8.3940000000000001E-2</v>
      </c>
      <c r="I23" s="61">
        <f ca="1">VLOOKUP($A23,Stamgegevens!$A$8:$AE$36,Stamgegevens!$N$1)</f>
        <v>0</v>
      </c>
      <c r="J23" s="44">
        <f t="shared" ca="1" si="0"/>
        <v>0</v>
      </c>
      <c r="K23" s="61"/>
      <c r="L23" s="44">
        <f ca="1">VLOOKUP($A23,Stamgegevens!$A$8:$AE$36,Stamgegevens!$P$1)</f>
        <v>7.5538210483283148</v>
      </c>
      <c r="M23" s="44">
        <f ca="1">VLOOKUP($A23,Stamgegevens!$A$8:$AE$36,Stamgegevens!$Q$1)</f>
        <v>7.5538210483283148</v>
      </c>
      <c r="N23" s="44"/>
      <c r="O23" s="44">
        <f ca="1">VLOOKUP($A23,Stamgegevens!$A$8:$AE$36,Stamgegevens!$S$1)</f>
        <v>1.2610719613235916E-2</v>
      </c>
      <c r="P23" s="44">
        <f t="shared" si="3"/>
        <v>0.02</v>
      </c>
      <c r="Q23" s="44">
        <f ca="1">VLOOKUP($A23,Stamgegevens!$A$8:$AE$36,Stamgegevens!$U$1)</f>
        <v>0</v>
      </c>
      <c r="R23" s="44">
        <f ca="1">VLOOKUP($A23,Stamgegevens!$A$8:$AE$36,Stamgegevens!$T$1)</f>
        <v>0.18916079419853876</v>
      </c>
      <c r="S23" s="44">
        <f t="shared" si="4"/>
        <v>0</v>
      </c>
      <c r="T23" s="44"/>
      <c r="U23" s="154">
        <f t="shared" ca="1" si="1"/>
        <v>5481</v>
      </c>
      <c r="V23" s="154"/>
      <c r="W23" s="44"/>
      <c r="X23" s="44">
        <f ca="1">VLOOKUP($A23,Stamgegevens!$A$8:$AE$36,Stamgegevens!$W$1)</f>
        <v>3.5</v>
      </c>
      <c r="Y23" s="44"/>
      <c r="Z23" s="44">
        <f ca="1">VLOOKUP($A23,Stamgegevens!$A$8:$AE$36,Stamgegevens!$Y$1)</f>
        <v>-0.02</v>
      </c>
      <c r="AA23" s="44"/>
      <c r="AB23" s="88">
        <f ca="1">VLOOKUP($A23,Stamgegevens!$A$8:$AE$36,Stamgegevens!$AA$1)</f>
        <v>14</v>
      </c>
      <c r="AC23" s="44"/>
      <c r="AD23" s="44">
        <f ca="1">VLOOKUP($A23,Stamgegevens!$A$8:$AE$36,Stamgegevens!$AC$1)</f>
        <v>0.2</v>
      </c>
      <c r="AE23" s="44"/>
      <c r="AF23" s="61">
        <f ca="1">VLOOKUP($A23,Stamgegevens!$A$8:$AE$36,Stamgegevens!$AE$1)</f>
        <v>0.85</v>
      </c>
    </row>
    <row r="24" spans="1:32">
      <c r="A24" s="46">
        <f t="shared" ca="1" si="2"/>
        <v>2035</v>
      </c>
      <c r="B24" s="87">
        <v>11</v>
      </c>
      <c r="D24" s="61">
        <f ca="1">VLOOKUP($A24,Stamgegevens!$A$8:$AE$36,Stamgegevens!$H$1)</f>
        <v>2.5000000000000001E-2</v>
      </c>
      <c r="F24" s="44">
        <f ca="1">VLOOKUP($A24,Stamgegevens!$A$8:$AE$36,Stamgegevens!$J$1)</f>
        <v>0.11046</v>
      </c>
      <c r="G24" s="45">
        <f ca="1">VLOOKUP($A24,Stamgegevens!$A$8:$AE$36,Stamgegevens!$K$1)</f>
        <v>10000</v>
      </c>
      <c r="H24" s="44">
        <f ca="1">VLOOKUP($A24,Stamgegevens!$A$8:$AE$36,Stamgegevens!$L$1)</f>
        <v>8.3940000000000001E-2</v>
      </c>
      <c r="I24" s="61">
        <f ca="1">VLOOKUP($A24,Stamgegevens!$A$8:$AE$36,Stamgegevens!$N$1)</f>
        <v>0</v>
      </c>
      <c r="J24" s="44">
        <f t="shared" ca="1" si="0"/>
        <v>0</v>
      </c>
      <c r="K24" s="61"/>
      <c r="L24" s="44">
        <f ca="1">VLOOKUP($A24,Stamgegevens!$A$8:$AE$36,Stamgegevens!$P$1)</f>
        <v>7.7426665745365222</v>
      </c>
      <c r="M24" s="44">
        <f ca="1">VLOOKUP($A24,Stamgegevens!$A$8:$AE$36,Stamgegevens!$Q$1)</f>
        <v>7.7426665745365222</v>
      </c>
      <c r="N24" s="44"/>
      <c r="O24" s="44">
        <f ca="1">VLOOKUP($A24,Stamgegevens!$A$8:$AE$36,Stamgegevens!$S$1)</f>
        <v>1.2925987603566813E-2</v>
      </c>
      <c r="P24" s="44">
        <f t="shared" si="3"/>
        <v>0.02</v>
      </c>
      <c r="Q24" s="44">
        <f ca="1">VLOOKUP($A24,Stamgegevens!$A$8:$AE$36,Stamgegevens!$U$1)</f>
        <v>0</v>
      </c>
      <c r="R24" s="44">
        <f ca="1">VLOOKUP($A24,Stamgegevens!$A$8:$AE$36,Stamgegevens!$T$1)</f>
        <v>0.19388981405350222</v>
      </c>
      <c r="S24" s="44">
        <f t="shared" si="4"/>
        <v>0</v>
      </c>
      <c r="T24" s="44"/>
      <c r="U24" s="154">
        <f t="shared" ca="1" si="1"/>
        <v>5116</v>
      </c>
      <c r="V24" s="154"/>
      <c r="W24" s="44"/>
      <c r="X24" s="44">
        <f ca="1">VLOOKUP($A24,Stamgegevens!$A$8:$AE$36,Stamgegevens!$W$1)</f>
        <v>3.5</v>
      </c>
      <c r="Y24" s="44"/>
      <c r="Z24" s="44">
        <f ca="1">VLOOKUP($A24,Stamgegevens!$A$8:$AE$36,Stamgegevens!$Y$1)</f>
        <v>-0.02</v>
      </c>
      <c r="AA24" s="44"/>
      <c r="AB24" s="88">
        <f ca="1">VLOOKUP($A24,Stamgegevens!$A$8:$AE$36,Stamgegevens!$AA$1)</f>
        <v>14</v>
      </c>
      <c r="AC24" s="44"/>
      <c r="AD24" s="44">
        <f ca="1">VLOOKUP($A24,Stamgegevens!$A$8:$AE$36,Stamgegevens!$AC$1)</f>
        <v>0.2</v>
      </c>
      <c r="AE24" s="44"/>
      <c r="AF24" s="61">
        <f ca="1">VLOOKUP($A24,Stamgegevens!$A$8:$AE$36,Stamgegevens!$AE$1)</f>
        <v>0.85</v>
      </c>
    </row>
    <row r="25" spans="1:32">
      <c r="A25" s="46">
        <f t="shared" ca="1" si="2"/>
        <v>2036</v>
      </c>
      <c r="B25" s="87">
        <v>12</v>
      </c>
      <c r="D25" s="61">
        <f ca="1">VLOOKUP($A25,Stamgegevens!$A$8:$AE$36,Stamgegevens!$H$1)</f>
        <v>2.5000000000000001E-2</v>
      </c>
      <c r="F25" s="44">
        <f ca="1">VLOOKUP($A25,Stamgegevens!$A$8:$AE$36,Stamgegevens!$J$1)</f>
        <v>0.11046</v>
      </c>
      <c r="G25" s="45">
        <f ca="1">VLOOKUP($A25,Stamgegevens!$A$8:$AE$36,Stamgegevens!$K$1)</f>
        <v>10000</v>
      </c>
      <c r="H25" s="44">
        <f ca="1">VLOOKUP($A25,Stamgegevens!$A$8:$AE$36,Stamgegevens!$L$1)</f>
        <v>8.3940000000000001E-2</v>
      </c>
      <c r="I25" s="61">
        <f ca="1">VLOOKUP($A25,Stamgegevens!$A$8:$AE$36,Stamgegevens!$N$1)</f>
        <v>0</v>
      </c>
      <c r="J25" s="44">
        <f t="shared" ca="1" si="0"/>
        <v>0</v>
      </c>
      <c r="K25" s="61"/>
      <c r="L25" s="44">
        <f ca="1">VLOOKUP($A25,Stamgegevens!$A$8:$AE$36,Stamgegevens!$P$1)</f>
        <v>7.9362332388999342</v>
      </c>
      <c r="M25" s="44">
        <f ca="1">VLOOKUP($A25,Stamgegevens!$A$8:$AE$36,Stamgegevens!$Q$1)</f>
        <v>7.9362332388999342</v>
      </c>
      <c r="N25" s="44"/>
      <c r="O25" s="44">
        <f ca="1">VLOOKUP($A25,Stamgegevens!$A$8:$AE$36,Stamgegevens!$S$1)</f>
        <v>1.3249137293655983E-2</v>
      </c>
      <c r="P25" s="44">
        <f t="shared" si="3"/>
        <v>0.02</v>
      </c>
      <c r="Q25" s="44">
        <f ca="1">VLOOKUP($A25,Stamgegevens!$A$8:$AE$36,Stamgegevens!$U$1)</f>
        <v>0</v>
      </c>
      <c r="R25" s="44">
        <f ca="1">VLOOKUP($A25,Stamgegevens!$A$8:$AE$36,Stamgegevens!$T$1)</f>
        <v>0.19873705940483977</v>
      </c>
      <c r="S25" s="44">
        <f t="shared" si="4"/>
        <v>0</v>
      </c>
      <c r="T25" s="44"/>
      <c r="U25" s="154">
        <f t="shared" ca="1" si="1"/>
        <v>4751</v>
      </c>
      <c r="V25" s="154"/>
      <c r="W25" s="44"/>
      <c r="X25" s="44">
        <f ca="1">VLOOKUP($A25,Stamgegevens!$A$8:$AE$36,Stamgegevens!$W$1)</f>
        <v>3.5</v>
      </c>
      <c r="Y25" s="44"/>
      <c r="Z25" s="44">
        <f ca="1">VLOOKUP($A25,Stamgegevens!$A$8:$AE$36,Stamgegevens!$Y$1)</f>
        <v>-0.02</v>
      </c>
      <c r="AA25" s="44"/>
      <c r="AB25" s="88">
        <f ca="1">VLOOKUP($A25,Stamgegevens!$A$8:$AE$36,Stamgegevens!$AA$1)</f>
        <v>14</v>
      </c>
      <c r="AC25" s="44"/>
      <c r="AD25" s="44">
        <f ca="1">VLOOKUP($A25,Stamgegevens!$A$8:$AE$36,Stamgegevens!$AC$1)</f>
        <v>0.2</v>
      </c>
      <c r="AE25" s="44"/>
      <c r="AF25" s="61">
        <f ca="1">VLOOKUP($A25,Stamgegevens!$A$8:$AE$36,Stamgegevens!$AE$1)</f>
        <v>0.85</v>
      </c>
    </row>
    <row r="26" spans="1:32">
      <c r="A26" s="46">
        <f t="shared" ca="1" si="2"/>
        <v>2037</v>
      </c>
      <c r="B26" s="87">
        <v>13</v>
      </c>
      <c r="D26" s="61">
        <f ca="1">VLOOKUP($A26,Stamgegevens!$A$8:$AE$36,Stamgegevens!$H$1)</f>
        <v>2.5000000000000001E-2</v>
      </c>
      <c r="F26" s="44">
        <f ca="1">VLOOKUP($A26,Stamgegevens!$A$8:$AE$36,Stamgegevens!$J$1)</f>
        <v>0.11046</v>
      </c>
      <c r="G26" s="45">
        <f ca="1">VLOOKUP($A26,Stamgegevens!$A$8:$AE$36,Stamgegevens!$K$1)</f>
        <v>10000</v>
      </c>
      <c r="H26" s="44">
        <f ca="1">VLOOKUP($A26,Stamgegevens!$A$8:$AE$36,Stamgegevens!$L$1)</f>
        <v>8.3940000000000001E-2</v>
      </c>
      <c r="I26" s="61">
        <f ca="1">VLOOKUP($A26,Stamgegevens!$A$8:$AE$36,Stamgegevens!$N$1)</f>
        <v>0</v>
      </c>
      <c r="J26" s="44">
        <f t="shared" ca="1" si="0"/>
        <v>0</v>
      </c>
      <c r="K26" s="61"/>
      <c r="L26" s="44">
        <f ca="1">VLOOKUP($A26,Stamgegevens!$A$8:$AE$36,Stamgegevens!$P$1)</f>
        <v>8.1346390698724313</v>
      </c>
      <c r="M26" s="44">
        <f ca="1">VLOOKUP($A26,Stamgegevens!$A$8:$AE$36,Stamgegevens!$Q$1)</f>
        <v>8.1346390698724313</v>
      </c>
      <c r="N26" s="44"/>
      <c r="O26" s="44">
        <f ca="1">VLOOKUP($A26,Stamgegevens!$A$8:$AE$36,Stamgegevens!$S$1)</f>
        <v>1.3580365725997381E-2</v>
      </c>
      <c r="P26" s="44">
        <f t="shared" si="3"/>
        <v>0.02</v>
      </c>
      <c r="Q26" s="44">
        <f ca="1">VLOOKUP($A26,Stamgegevens!$A$8:$AE$36,Stamgegevens!$U$1)</f>
        <v>0</v>
      </c>
      <c r="R26" s="44">
        <f ca="1">VLOOKUP($A26,Stamgegevens!$A$8:$AE$36,Stamgegevens!$T$1)</f>
        <v>0.20370548588996074</v>
      </c>
      <c r="S26" s="44">
        <f t="shared" si="4"/>
        <v>0</v>
      </c>
      <c r="T26" s="44"/>
      <c r="U26" s="154">
        <f t="shared" ca="1" si="1"/>
        <v>4386</v>
      </c>
      <c r="V26" s="154"/>
      <c r="W26" s="44"/>
      <c r="X26" s="44">
        <f ca="1">VLOOKUP($A26,Stamgegevens!$A$8:$AE$36,Stamgegevens!$W$1)</f>
        <v>3.5</v>
      </c>
      <c r="Y26" s="44"/>
      <c r="Z26" s="44">
        <f ca="1">VLOOKUP($A26,Stamgegevens!$A$8:$AE$36,Stamgegevens!$Y$1)</f>
        <v>-0.02</v>
      </c>
      <c r="AA26" s="44"/>
      <c r="AB26" s="88">
        <f ca="1">VLOOKUP($A26,Stamgegevens!$A$8:$AE$36,Stamgegevens!$AA$1)</f>
        <v>14</v>
      </c>
      <c r="AC26" s="44"/>
      <c r="AD26" s="44">
        <f ca="1">VLOOKUP($A26,Stamgegevens!$A$8:$AE$36,Stamgegevens!$AC$1)</f>
        <v>0.2</v>
      </c>
      <c r="AE26" s="44"/>
      <c r="AF26" s="61">
        <f ca="1">VLOOKUP($A26,Stamgegevens!$A$8:$AE$36,Stamgegevens!$AE$1)</f>
        <v>0.85</v>
      </c>
    </row>
    <row r="27" spans="1:32">
      <c r="A27" s="46">
        <f t="shared" ca="1" si="2"/>
        <v>2038</v>
      </c>
      <c r="B27" s="87">
        <v>14</v>
      </c>
      <c r="D27" s="61">
        <f ca="1">VLOOKUP($A27,Stamgegevens!$A$8:$AE$36,Stamgegevens!$H$1)</f>
        <v>2.5000000000000001E-2</v>
      </c>
      <c r="F27" s="44">
        <f ca="1">VLOOKUP($A27,Stamgegevens!$A$8:$AE$36,Stamgegevens!$J$1)</f>
        <v>0.11046</v>
      </c>
      <c r="G27" s="45">
        <f ca="1">VLOOKUP($A27,Stamgegevens!$A$8:$AE$36,Stamgegevens!$K$1)</f>
        <v>10000</v>
      </c>
      <c r="H27" s="44">
        <f ca="1">VLOOKUP($A27,Stamgegevens!$A$8:$AE$36,Stamgegevens!$L$1)</f>
        <v>8.3940000000000001E-2</v>
      </c>
      <c r="I27" s="61">
        <f ca="1">VLOOKUP($A27,Stamgegevens!$A$8:$AE$36,Stamgegevens!$N$1)</f>
        <v>0</v>
      </c>
      <c r="J27" s="44">
        <f t="shared" ca="1" si="0"/>
        <v>0</v>
      </c>
      <c r="K27" s="61"/>
      <c r="L27" s="44">
        <f ca="1">VLOOKUP($A27,Stamgegevens!$A$8:$AE$36,Stamgegevens!$P$1)</f>
        <v>8.3380050466192408</v>
      </c>
      <c r="M27" s="44">
        <f ca="1">VLOOKUP($A27,Stamgegevens!$A$8:$AE$36,Stamgegevens!$Q$1)</f>
        <v>8.3380050466192408</v>
      </c>
      <c r="N27" s="44"/>
      <c r="O27" s="44">
        <f ca="1">VLOOKUP($A27,Stamgegevens!$A$8:$AE$36,Stamgegevens!$S$1)</f>
        <v>1.3919874869147314E-2</v>
      </c>
      <c r="P27" s="44">
        <f t="shared" si="3"/>
        <v>0.02</v>
      </c>
      <c r="Q27" s="44">
        <f ca="1">VLOOKUP($A27,Stamgegevens!$A$8:$AE$36,Stamgegevens!$U$1)</f>
        <v>0</v>
      </c>
      <c r="R27" s="44">
        <f ca="1">VLOOKUP($A27,Stamgegevens!$A$8:$AE$36,Stamgegevens!$T$1)</f>
        <v>0.20879812303720974</v>
      </c>
      <c r="S27" s="44">
        <f t="shared" si="4"/>
        <v>0</v>
      </c>
      <c r="T27" s="44"/>
      <c r="U27" s="154">
        <f t="shared" ca="1" si="1"/>
        <v>4021</v>
      </c>
      <c r="V27" s="154"/>
      <c r="W27" s="44"/>
      <c r="X27" s="44">
        <f ca="1">VLOOKUP($A27,Stamgegevens!$A$8:$AE$36,Stamgegevens!$W$1)</f>
        <v>3.5</v>
      </c>
      <c r="Y27" s="44"/>
      <c r="Z27" s="44">
        <f ca="1">VLOOKUP($A27,Stamgegevens!$A$8:$AE$36,Stamgegevens!$Y$1)</f>
        <v>-0.02</v>
      </c>
      <c r="AA27" s="44"/>
      <c r="AB27" s="88">
        <f ca="1">VLOOKUP($A27,Stamgegevens!$A$8:$AE$36,Stamgegevens!$AA$1)</f>
        <v>14</v>
      </c>
      <c r="AC27" s="44"/>
      <c r="AD27" s="44">
        <f ca="1">VLOOKUP($A27,Stamgegevens!$A$8:$AE$36,Stamgegevens!$AC$1)</f>
        <v>0.2</v>
      </c>
      <c r="AE27" s="44"/>
      <c r="AF27" s="61">
        <f ca="1">VLOOKUP($A27,Stamgegevens!$A$8:$AE$36,Stamgegevens!$AE$1)</f>
        <v>0.85</v>
      </c>
    </row>
    <row r="28" spans="1:32">
      <c r="A28" s="46">
        <f t="shared" ca="1" si="2"/>
        <v>2039</v>
      </c>
      <c r="B28" s="87">
        <v>15</v>
      </c>
      <c r="D28" s="61">
        <f ca="1">VLOOKUP($A28,Stamgegevens!$A$8:$AE$36,Stamgegevens!$H$1)</f>
        <v>2.5000000000000001E-2</v>
      </c>
      <c r="F28" s="44">
        <f ca="1">VLOOKUP($A28,Stamgegevens!$A$8:$AE$36,Stamgegevens!$J$1)</f>
        <v>0.11046</v>
      </c>
      <c r="G28" s="45">
        <f ca="1">VLOOKUP($A28,Stamgegevens!$A$8:$AE$36,Stamgegevens!$K$1)</f>
        <v>10000</v>
      </c>
      <c r="H28" s="44">
        <f ca="1">VLOOKUP($A28,Stamgegevens!$A$8:$AE$36,Stamgegevens!$L$1)</f>
        <v>8.3940000000000001E-2</v>
      </c>
      <c r="I28" s="61">
        <f ca="1">VLOOKUP($A28,Stamgegevens!$A$8:$AE$36,Stamgegevens!$N$1)</f>
        <v>0</v>
      </c>
      <c r="J28" s="44">
        <f t="shared" ca="1" si="0"/>
        <v>0</v>
      </c>
      <c r="K28" s="61"/>
      <c r="L28" s="44">
        <f ca="1">VLOOKUP($A28,Stamgegevens!$A$8:$AE$36,Stamgegevens!$P$1)</f>
        <v>8.5464551727847216</v>
      </c>
      <c r="M28" s="44">
        <f ca="1">VLOOKUP($A28,Stamgegevens!$A$8:$AE$36,Stamgegevens!$Q$1)</f>
        <v>8.5464551727847216</v>
      </c>
      <c r="N28" s="44"/>
      <c r="O28" s="44">
        <f ca="1">VLOOKUP($A28,Stamgegevens!$A$8:$AE$36,Stamgegevens!$S$1)</f>
        <v>1.4267871740875996E-2</v>
      </c>
      <c r="P28" s="44">
        <f t="shared" si="3"/>
        <v>0.02</v>
      </c>
      <c r="Q28" s="44">
        <f ca="1">VLOOKUP($A28,Stamgegevens!$A$8:$AE$36,Stamgegevens!$U$1)</f>
        <v>0</v>
      </c>
      <c r="R28" s="44">
        <f ca="1">VLOOKUP($A28,Stamgegevens!$A$8:$AE$36,Stamgegevens!$T$1)</f>
        <v>0.21401807611313997</v>
      </c>
      <c r="S28" s="44">
        <f t="shared" si="4"/>
        <v>0</v>
      </c>
      <c r="T28" s="44"/>
      <c r="U28" s="154">
        <f t="shared" ca="1" si="1"/>
        <v>3656</v>
      </c>
      <c r="V28" s="154"/>
      <c r="W28" s="44"/>
      <c r="X28" s="44">
        <f ca="1">VLOOKUP($A28,Stamgegevens!$A$8:$AE$36,Stamgegevens!$W$1)</f>
        <v>3.5</v>
      </c>
      <c r="Y28" s="44"/>
      <c r="Z28" s="44">
        <f ca="1">VLOOKUP($A28,Stamgegevens!$A$8:$AE$36,Stamgegevens!$Y$1)</f>
        <v>-0.02</v>
      </c>
      <c r="AA28" s="44"/>
      <c r="AB28" s="88">
        <f ca="1">VLOOKUP($A28,Stamgegevens!$A$8:$AE$36,Stamgegevens!$AA$1)</f>
        <v>14</v>
      </c>
      <c r="AC28" s="44"/>
      <c r="AD28" s="44">
        <f ca="1">VLOOKUP($A28,Stamgegevens!$A$8:$AE$36,Stamgegevens!$AC$1)</f>
        <v>0.2</v>
      </c>
      <c r="AE28" s="44"/>
      <c r="AF28" s="61">
        <f ca="1">VLOOKUP($A28,Stamgegevens!$A$8:$AE$36,Stamgegevens!$AE$1)</f>
        <v>0.85</v>
      </c>
    </row>
    <row r="29" spans="1:32">
      <c r="A29" s="46">
        <f t="shared" ca="1" si="2"/>
        <v>2040</v>
      </c>
      <c r="B29" s="87">
        <v>16</v>
      </c>
      <c r="D29" s="61">
        <f ca="1">VLOOKUP($A29,Stamgegevens!$A$8:$AE$36,Stamgegevens!$H$1)</f>
        <v>2.5000000000000001E-2</v>
      </c>
      <c r="F29" s="44">
        <f ca="1">VLOOKUP($A29,Stamgegevens!$A$8:$AE$36,Stamgegevens!$J$1)</f>
        <v>0.11046</v>
      </c>
      <c r="G29" s="45">
        <f ca="1">VLOOKUP($A29,Stamgegevens!$A$8:$AE$36,Stamgegevens!$K$1)</f>
        <v>10000</v>
      </c>
      <c r="H29" s="44">
        <f ca="1">VLOOKUP($A29,Stamgegevens!$A$8:$AE$36,Stamgegevens!$L$1)</f>
        <v>8.3940000000000001E-2</v>
      </c>
      <c r="I29" s="61">
        <f ca="1">VLOOKUP($A29,Stamgegevens!$A$8:$AE$36,Stamgegevens!$N$1)</f>
        <v>0</v>
      </c>
      <c r="J29" s="44">
        <f t="shared" ca="1" si="0"/>
        <v>0</v>
      </c>
      <c r="K29" s="61"/>
      <c r="L29" s="44">
        <f ca="1">VLOOKUP($A29,Stamgegevens!$A$8:$AE$36,Stamgegevens!$P$1)</f>
        <v>8.7601165521043391</v>
      </c>
      <c r="M29" s="44">
        <f ca="1">VLOOKUP($A29,Stamgegevens!$A$8:$AE$36,Stamgegevens!$Q$1)</f>
        <v>8.7601165521043391</v>
      </c>
      <c r="N29" s="44"/>
      <c r="O29" s="44">
        <f ca="1">VLOOKUP($A29,Stamgegevens!$A$8:$AE$36,Stamgegevens!$S$1)</f>
        <v>1.4624568534397895E-2</v>
      </c>
      <c r="P29" s="44">
        <f t="shared" si="3"/>
        <v>0.02</v>
      </c>
      <c r="Q29" s="44">
        <f ca="1">VLOOKUP($A29,Stamgegevens!$A$8:$AE$36,Stamgegevens!$U$1)</f>
        <v>0</v>
      </c>
      <c r="R29" s="44">
        <f ca="1">VLOOKUP($A29,Stamgegevens!$A$8:$AE$36,Stamgegevens!$T$1)</f>
        <v>0.21936852801596846</v>
      </c>
      <c r="S29" s="44">
        <f t="shared" si="4"/>
        <v>0</v>
      </c>
      <c r="T29" s="44"/>
      <c r="U29" s="154">
        <f t="shared" ca="1" si="1"/>
        <v>3291</v>
      </c>
      <c r="V29" s="154"/>
      <c r="W29" s="44"/>
      <c r="X29" s="44">
        <f ca="1">VLOOKUP($A29,Stamgegevens!$A$8:$AE$36,Stamgegevens!$W$1)</f>
        <v>3.5</v>
      </c>
      <c r="Y29" s="44"/>
      <c r="Z29" s="44">
        <f ca="1">VLOOKUP($A29,Stamgegevens!$A$8:$AE$36,Stamgegevens!$Y$1)</f>
        <v>-0.02</v>
      </c>
      <c r="AA29" s="44"/>
      <c r="AB29" s="88">
        <f ca="1">VLOOKUP($A29,Stamgegevens!$A$8:$AE$36,Stamgegevens!$AA$1)</f>
        <v>14</v>
      </c>
      <c r="AC29" s="44"/>
      <c r="AD29" s="44">
        <f ca="1">VLOOKUP($A29,Stamgegevens!$A$8:$AE$36,Stamgegevens!$AC$1)</f>
        <v>0.2</v>
      </c>
      <c r="AE29" s="44"/>
      <c r="AF29" s="61">
        <f ca="1">VLOOKUP($A29,Stamgegevens!$A$8:$AE$36,Stamgegevens!$AE$1)</f>
        <v>0.85</v>
      </c>
    </row>
    <row r="30" spans="1:32">
      <c r="A30" s="46">
        <f t="shared" ca="1" si="2"/>
        <v>2041</v>
      </c>
      <c r="B30" s="87">
        <v>17</v>
      </c>
      <c r="D30" s="61">
        <f ca="1">VLOOKUP($A30,Stamgegevens!$A$8:$AE$36,Stamgegevens!$H$1)</f>
        <v>2.5000000000000001E-2</v>
      </c>
      <c r="F30" s="44">
        <f ca="1">VLOOKUP($A30,Stamgegevens!$A$8:$AE$36,Stamgegevens!$J$1)</f>
        <v>0.11046</v>
      </c>
      <c r="G30" s="45">
        <f ca="1">VLOOKUP($A30,Stamgegevens!$A$8:$AE$36,Stamgegevens!$K$1)</f>
        <v>10000</v>
      </c>
      <c r="H30" s="44">
        <f ca="1">VLOOKUP($A30,Stamgegevens!$A$8:$AE$36,Stamgegevens!$L$1)</f>
        <v>8.3940000000000001E-2</v>
      </c>
      <c r="I30" s="61">
        <f ca="1">VLOOKUP($A30,Stamgegevens!$A$8:$AE$36,Stamgegevens!$N$1)</f>
        <v>0</v>
      </c>
      <c r="J30" s="44">
        <f t="shared" ca="1" si="0"/>
        <v>0</v>
      </c>
      <c r="K30" s="61"/>
      <c r="L30" s="44">
        <f ca="1">VLOOKUP($A30,Stamgegevens!$A$8:$AE$36,Stamgegevens!$P$1)</f>
        <v>8.9791194659069475</v>
      </c>
      <c r="M30" s="44">
        <f ca="1">VLOOKUP($A30,Stamgegevens!$A$8:$AE$36,Stamgegevens!$Q$1)</f>
        <v>8.9791194659069475</v>
      </c>
      <c r="N30" s="44"/>
      <c r="O30" s="44">
        <f ca="1">VLOOKUP($A30,Stamgegevens!$A$8:$AE$36,Stamgegevens!$S$1)</f>
        <v>1.4990182747757841E-2</v>
      </c>
      <c r="P30" s="44">
        <f t="shared" si="3"/>
        <v>0.02</v>
      </c>
      <c r="Q30" s="44">
        <f ca="1">VLOOKUP($A30,Stamgegevens!$A$8:$AE$36,Stamgegevens!$U$1)</f>
        <v>0</v>
      </c>
      <c r="R30" s="44">
        <f ca="1">VLOOKUP($A30,Stamgegevens!$A$8:$AE$36,Stamgegevens!$T$1)</f>
        <v>0.22485274121636764</v>
      </c>
      <c r="S30" s="44">
        <f t="shared" si="4"/>
        <v>0</v>
      </c>
      <c r="T30" s="44"/>
      <c r="U30" s="154">
        <f t="shared" ca="1" si="1"/>
        <v>2926</v>
      </c>
      <c r="V30" s="154"/>
      <c r="W30" s="44"/>
      <c r="X30" s="44">
        <f ca="1">VLOOKUP($A30,Stamgegevens!$A$8:$AE$36,Stamgegevens!$W$1)</f>
        <v>3.5</v>
      </c>
      <c r="Y30" s="44"/>
      <c r="Z30" s="44">
        <f ca="1">VLOOKUP($A30,Stamgegevens!$A$8:$AE$36,Stamgegevens!$Y$1)</f>
        <v>-0.02</v>
      </c>
      <c r="AA30" s="44"/>
      <c r="AB30" s="88">
        <f ca="1">VLOOKUP($A30,Stamgegevens!$A$8:$AE$36,Stamgegevens!$AA$1)</f>
        <v>14</v>
      </c>
      <c r="AC30" s="44"/>
      <c r="AD30" s="44">
        <f ca="1">VLOOKUP($A30,Stamgegevens!$A$8:$AE$36,Stamgegevens!$AC$1)</f>
        <v>0.2</v>
      </c>
      <c r="AE30" s="44"/>
      <c r="AF30" s="61">
        <f ca="1">VLOOKUP($A30,Stamgegevens!$A$8:$AE$36,Stamgegevens!$AE$1)</f>
        <v>0.85</v>
      </c>
    </row>
    <row r="31" spans="1:32">
      <c r="A31" s="46">
        <f t="shared" ca="1" si="2"/>
        <v>2042</v>
      </c>
      <c r="B31" s="87">
        <v>18</v>
      </c>
      <c r="D31" s="61">
        <f ca="1">VLOOKUP($A31,Stamgegevens!$A$8:$AE$36,Stamgegevens!$H$1)</f>
        <v>2.5000000000000001E-2</v>
      </c>
      <c r="F31" s="44">
        <f ca="1">VLOOKUP($A31,Stamgegevens!$A$8:$AE$36,Stamgegevens!$J$1)</f>
        <v>0.11046</v>
      </c>
      <c r="G31" s="45">
        <f ca="1">VLOOKUP($A31,Stamgegevens!$A$8:$AE$36,Stamgegevens!$K$1)</f>
        <v>10000</v>
      </c>
      <c r="H31" s="44">
        <f ca="1">VLOOKUP($A31,Stamgegevens!$A$8:$AE$36,Stamgegevens!$L$1)</f>
        <v>8.3940000000000001E-2</v>
      </c>
      <c r="I31" s="61">
        <f ca="1">VLOOKUP($A31,Stamgegevens!$A$8:$AE$36,Stamgegevens!$N$1)</f>
        <v>0</v>
      </c>
      <c r="J31" s="44">
        <f t="shared" ca="1" si="0"/>
        <v>0</v>
      </c>
      <c r="K31" s="61"/>
      <c r="L31" s="44">
        <f ca="1">VLOOKUP($A31,Stamgegevens!$A$8:$AE$36,Stamgegevens!$P$1)</f>
        <v>9.2035974525546198</v>
      </c>
      <c r="M31" s="44">
        <f ca="1">VLOOKUP($A31,Stamgegevens!$A$8:$AE$36,Stamgegevens!$Q$1)</f>
        <v>9.2035974525546198</v>
      </c>
      <c r="N31" s="44"/>
      <c r="O31" s="44">
        <f ca="1">VLOOKUP($A31,Stamgegevens!$A$8:$AE$36,Stamgegevens!$S$1)</f>
        <v>1.5364937316451785E-2</v>
      </c>
      <c r="P31" s="44">
        <f t="shared" si="3"/>
        <v>0.02</v>
      </c>
      <c r="Q31" s="44">
        <f ca="1">VLOOKUP($A31,Stamgegevens!$A$8:$AE$36,Stamgegevens!$U$1)</f>
        <v>0</v>
      </c>
      <c r="R31" s="44">
        <f ca="1">VLOOKUP($A31,Stamgegevens!$A$8:$AE$36,Stamgegevens!$T$1)</f>
        <v>0.23047405974677682</v>
      </c>
      <c r="S31" s="44">
        <f t="shared" si="4"/>
        <v>0</v>
      </c>
      <c r="T31" s="44"/>
      <c r="U31" s="154">
        <f t="shared" ca="1" si="1"/>
        <v>2561</v>
      </c>
      <c r="V31" s="154"/>
      <c r="W31" s="44"/>
      <c r="X31" s="44">
        <f ca="1">VLOOKUP($A31,Stamgegevens!$A$8:$AE$36,Stamgegevens!$W$1)</f>
        <v>3.5</v>
      </c>
      <c r="Y31" s="44"/>
      <c r="Z31" s="44">
        <f ca="1">VLOOKUP($A31,Stamgegevens!$A$8:$AE$36,Stamgegevens!$Y$1)</f>
        <v>-0.02</v>
      </c>
      <c r="AA31" s="44"/>
      <c r="AB31" s="88">
        <f ca="1">VLOOKUP($A31,Stamgegevens!$A$8:$AE$36,Stamgegevens!$AA$1)</f>
        <v>14</v>
      </c>
      <c r="AC31" s="44"/>
      <c r="AD31" s="44">
        <f ca="1">VLOOKUP($A31,Stamgegevens!$A$8:$AE$36,Stamgegevens!$AC$1)</f>
        <v>0.2</v>
      </c>
      <c r="AE31" s="44"/>
      <c r="AF31" s="61">
        <f ca="1">VLOOKUP($A31,Stamgegevens!$A$8:$AE$36,Stamgegevens!$AE$1)</f>
        <v>0.85</v>
      </c>
    </row>
    <row r="32" spans="1:32">
      <c r="A32" s="46">
        <f t="shared" ca="1" si="2"/>
        <v>2043</v>
      </c>
      <c r="B32" s="87">
        <v>19</v>
      </c>
      <c r="D32" s="61">
        <f ca="1">VLOOKUP($A32,Stamgegevens!$A$8:$AE$36,Stamgegevens!$H$1)</f>
        <v>2.5000000000000001E-2</v>
      </c>
      <c r="F32" s="44">
        <f ca="1">VLOOKUP($A32,Stamgegevens!$A$8:$AE$36,Stamgegevens!$J$1)</f>
        <v>0.11046</v>
      </c>
      <c r="G32" s="45">
        <f ca="1">VLOOKUP($A32,Stamgegevens!$A$8:$AE$36,Stamgegevens!$K$1)</f>
        <v>10000</v>
      </c>
      <c r="H32" s="44">
        <f ca="1">VLOOKUP($A32,Stamgegevens!$A$8:$AE$36,Stamgegevens!$L$1)</f>
        <v>8.3940000000000001E-2</v>
      </c>
      <c r="I32" s="61">
        <f ca="1">VLOOKUP($A32,Stamgegevens!$A$8:$AE$36,Stamgegevens!$N$1)</f>
        <v>0</v>
      </c>
      <c r="J32" s="44">
        <f t="shared" ca="1" si="0"/>
        <v>0</v>
      </c>
      <c r="K32" s="61"/>
      <c r="L32" s="44">
        <f ca="1">VLOOKUP($A32,Stamgegevens!$A$8:$AE$36,Stamgegevens!$P$1)</f>
        <v>9.4336873888684849</v>
      </c>
      <c r="M32" s="44">
        <f ca="1">VLOOKUP($A32,Stamgegevens!$A$8:$AE$36,Stamgegevens!$Q$1)</f>
        <v>9.4336873888684849</v>
      </c>
      <c r="N32" s="44"/>
      <c r="O32" s="44">
        <f ca="1">VLOOKUP($A32,Stamgegevens!$A$8:$AE$36,Stamgegevens!$S$1)</f>
        <v>1.5749060749363077E-2</v>
      </c>
      <c r="P32" s="44">
        <f t="shared" si="3"/>
        <v>0.02</v>
      </c>
      <c r="Q32" s="44">
        <f ca="1">VLOOKUP($A32,Stamgegevens!$A$8:$AE$36,Stamgegevens!$U$1)</f>
        <v>0</v>
      </c>
      <c r="R32" s="44">
        <f ca="1">VLOOKUP($A32,Stamgegevens!$A$8:$AE$36,Stamgegevens!$T$1)</f>
        <v>0.23623591124044621</v>
      </c>
      <c r="S32" s="44">
        <f t="shared" si="4"/>
        <v>0</v>
      </c>
      <c r="T32" s="44"/>
      <c r="U32" s="154">
        <f t="shared" ca="1" si="1"/>
        <v>2196</v>
      </c>
      <c r="V32" s="154"/>
      <c r="W32" s="44"/>
      <c r="X32" s="44">
        <f ca="1">VLOOKUP($A32,Stamgegevens!$A$8:$AE$36,Stamgegevens!$W$1)</f>
        <v>3.5</v>
      </c>
      <c r="Y32" s="44"/>
      <c r="Z32" s="44">
        <f ca="1">VLOOKUP($A32,Stamgegevens!$A$8:$AE$36,Stamgegevens!$Y$1)</f>
        <v>-0.02</v>
      </c>
      <c r="AA32" s="44"/>
      <c r="AB32" s="88">
        <f ca="1">VLOOKUP($A32,Stamgegevens!$A$8:$AE$36,Stamgegevens!$AA$1)</f>
        <v>14</v>
      </c>
      <c r="AC32" s="44"/>
      <c r="AD32" s="44">
        <f ca="1">VLOOKUP($A32,Stamgegevens!$A$8:$AE$36,Stamgegevens!$AC$1)</f>
        <v>0.2</v>
      </c>
      <c r="AE32" s="44"/>
      <c r="AF32" s="61">
        <f ca="1">VLOOKUP($A32,Stamgegevens!$A$8:$AE$36,Stamgegevens!$AE$1)</f>
        <v>0.85</v>
      </c>
    </row>
    <row r="33" spans="1:32">
      <c r="A33" s="46">
        <f t="shared" ca="1" si="2"/>
        <v>2044</v>
      </c>
      <c r="B33" s="87">
        <v>20</v>
      </c>
      <c r="D33" s="61">
        <f ca="1">VLOOKUP($A33,Stamgegevens!$A$8:$AE$36,Stamgegevens!$H$1)</f>
        <v>2.5000000000000001E-2</v>
      </c>
      <c r="F33" s="44">
        <f ca="1">VLOOKUP($A33,Stamgegevens!$A$8:$AE$36,Stamgegevens!$J$1)</f>
        <v>0.11046</v>
      </c>
      <c r="G33" s="45">
        <f ca="1">VLOOKUP($A33,Stamgegevens!$A$8:$AE$36,Stamgegevens!$K$1)</f>
        <v>10000</v>
      </c>
      <c r="H33" s="44">
        <f ca="1">VLOOKUP($A33,Stamgegevens!$A$8:$AE$36,Stamgegevens!$L$1)</f>
        <v>8.3940000000000001E-2</v>
      </c>
      <c r="I33" s="61">
        <f ca="1">VLOOKUP($A33,Stamgegevens!$A$8:$AE$36,Stamgegevens!$N$1)</f>
        <v>0</v>
      </c>
      <c r="J33" s="44">
        <f t="shared" ca="1" si="0"/>
        <v>0</v>
      </c>
      <c r="K33" s="61"/>
      <c r="L33" s="44">
        <f ca="1">VLOOKUP($A33,Stamgegevens!$A$8:$AE$36,Stamgegevens!$P$1)</f>
        <v>9.6695295735901965</v>
      </c>
      <c r="M33" s="44">
        <f ca="1">VLOOKUP($A33,Stamgegevens!$A$8:$AE$36,Stamgegevens!$Q$1)</f>
        <v>9.6695295735901965</v>
      </c>
      <c r="N33" s="44"/>
      <c r="O33" s="44">
        <f ca="1">VLOOKUP($A33,Stamgegevens!$A$8:$AE$36,Stamgegevens!$S$1)</f>
        <v>1.6142787268097154E-2</v>
      </c>
      <c r="P33" s="44">
        <f t="shared" si="3"/>
        <v>0.02</v>
      </c>
      <c r="Q33" s="44">
        <f ca="1">VLOOKUP($A33,Stamgegevens!$A$8:$AE$36,Stamgegevens!$U$1)</f>
        <v>0</v>
      </c>
      <c r="R33" s="44">
        <f ca="1">VLOOKUP($A33,Stamgegevens!$A$8:$AE$36,Stamgegevens!$T$1)</f>
        <v>0.24214180902145735</v>
      </c>
      <c r="S33" s="44">
        <f t="shared" si="4"/>
        <v>0</v>
      </c>
      <c r="T33" s="44"/>
      <c r="U33" s="154">
        <f t="shared" ca="1" si="1"/>
        <v>1831</v>
      </c>
      <c r="V33" s="154"/>
      <c r="W33" s="44"/>
      <c r="X33" s="44">
        <f ca="1">VLOOKUP($A33,Stamgegevens!$A$8:$AE$36,Stamgegevens!$W$1)</f>
        <v>3.5</v>
      </c>
      <c r="Y33" s="44"/>
      <c r="Z33" s="44">
        <f ca="1">VLOOKUP($A33,Stamgegevens!$A$8:$AE$36,Stamgegevens!$Y$1)</f>
        <v>-0.02</v>
      </c>
      <c r="AA33" s="44"/>
      <c r="AB33" s="88">
        <f ca="1">VLOOKUP($A33,Stamgegevens!$A$8:$AE$36,Stamgegevens!$AA$1)</f>
        <v>14</v>
      </c>
      <c r="AC33" s="44"/>
      <c r="AD33" s="44">
        <f ca="1">VLOOKUP($A33,Stamgegevens!$A$8:$AE$36,Stamgegevens!$AC$1)</f>
        <v>0.2</v>
      </c>
      <c r="AE33" s="44"/>
      <c r="AF33" s="61">
        <f ca="1">VLOOKUP($A33,Stamgegevens!$A$8:$AE$36,Stamgegevens!$AE$1)</f>
        <v>0.85</v>
      </c>
    </row>
    <row r="34" spans="1:32">
      <c r="A34" s="46">
        <f t="shared" ca="1" si="2"/>
        <v>2045</v>
      </c>
      <c r="B34" s="87"/>
      <c r="D34" s="61">
        <f ca="1">VLOOKUP($A34,Stamgegevens!$A$8:$AE$36,Stamgegevens!$H$1)</f>
        <v>2.5000000000000001E-2</v>
      </c>
      <c r="F34" s="44">
        <f ca="1">VLOOKUP($A34,Stamgegevens!$A$8:$AE$36,Stamgegevens!$J$1)</f>
        <v>0.11046</v>
      </c>
      <c r="G34" s="45">
        <f ca="1">VLOOKUP($A34,Stamgegevens!$A$8:$AE$36,Stamgegevens!$K$1)</f>
        <v>10000</v>
      </c>
      <c r="H34" s="44">
        <f ca="1">VLOOKUP($A34,Stamgegevens!$A$8:$AE$36,Stamgegevens!$L$1)</f>
        <v>8.3940000000000001E-2</v>
      </c>
      <c r="I34" s="61">
        <f ca="1">VLOOKUP($A34,Stamgegevens!$A$8:$AE$36,Stamgegevens!$N$1)</f>
        <v>0</v>
      </c>
      <c r="J34" s="44">
        <f t="shared" ca="1" si="0"/>
        <v>0</v>
      </c>
      <c r="K34" s="61"/>
      <c r="L34" s="44">
        <f ca="1">VLOOKUP($A34,Stamgegevens!$A$8:$AE$36,Stamgegevens!$P$1)</f>
        <v>9.9112678129299514</v>
      </c>
      <c r="M34" s="44">
        <f ca="1">VLOOKUP($A34,Stamgegevens!$A$8:$AE$36,Stamgegevens!$Q$1)</f>
        <v>9.9112678129299514</v>
      </c>
      <c r="N34" s="44"/>
      <c r="O34" s="44">
        <f ca="1">VLOOKUP($A34,Stamgegevens!$A$8:$AE$36,Stamgegevens!$S$1)</f>
        <v>1.6546356949799581E-2</v>
      </c>
      <c r="P34" s="44">
        <f t="shared" si="3"/>
        <v>0.02</v>
      </c>
      <c r="Q34" s="44">
        <f ca="1">VLOOKUP($A34,Stamgegevens!$A$8:$AE$36,Stamgegevens!$U$1)</f>
        <v>0</v>
      </c>
      <c r="R34" s="44">
        <f ca="1">VLOOKUP($A34,Stamgegevens!$A$8:$AE$36,Stamgegevens!$T$1)</f>
        <v>0.24819535424699377</v>
      </c>
      <c r="S34" s="44">
        <f t="shared" si="4"/>
        <v>0</v>
      </c>
      <c r="T34" s="44"/>
      <c r="U34" s="154">
        <f t="shared" ca="1" si="1"/>
        <v>1466</v>
      </c>
      <c r="V34" s="154"/>
      <c r="W34" s="44"/>
      <c r="X34" s="44">
        <f ca="1">VLOOKUP($A34,Stamgegevens!$A$8:$AE$36,Stamgegevens!$W$1)</f>
        <v>3.5</v>
      </c>
      <c r="Y34" s="44"/>
      <c r="Z34" s="44">
        <f ca="1">VLOOKUP($A34,Stamgegevens!$A$8:$AE$36,Stamgegevens!$Y$1)</f>
        <v>-0.02</v>
      </c>
      <c r="AA34" s="44"/>
      <c r="AB34" s="88">
        <f ca="1">VLOOKUP($A34,Stamgegevens!$A$8:$AE$36,Stamgegevens!$AA$1)</f>
        <v>14</v>
      </c>
      <c r="AC34" s="44"/>
      <c r="AD34" s="44">
        <f ca="1">VLOOKUP($A34,Stamgegevens!$A$8:$AE$36,Stamgegevens!$AC$1)</f>
        <v>0.2</v>
      </c>
      <c r="AE34" s="44"/>
      <c r="AF34" s="61">
        <f ca="1">VLOOKUP($A34,Stamgegevens!$A$8:$AE$36,Stamgegevens!$AE$1)</f>
        <v>0.85</v>
      </c>
    </row>
    <row r="35" spans="1:32">
      <c r="A35" s="46">
        <f t="shared" ca="1" si="2"/>
        <v>2046</v>
      </c>
      <c r="B35" s="87"/>
      <c r="D35" s="61">
        <f ca="1">VLOOKUP($A35,Stamgegevens!$A$8:$AE$36,Stamgegevens!$H$1)</f>
        <v>2.5000000000000001E-2</v>
      </c>
      <c r="F35" s="44">
        <f ca="1">VLOOKUP($A35,Stamgegevens!$A$8:$AE$36,Stamgegevens!$J$1)</f>
        <v>0.11046</v>
      </c>
      <c r="G35" s="45">
        <f ca="1">VLOOKUP($A35,Stamgegevens!$A$8:$AE$36,Stamgegevens!$K$1)</f>
        <v>10000</v>
      </c>
      <c r="H35" s="44">
        <f ca="1">VLOOKUP($A35,Stamgegevens!$A$8:$AE$36,Stamgegevens!$L$1)</f>
        <v>8.3940000000000001E-2</v>
      </c>
      <c r="I35" s="61">
        <f ca="1">VLOOKUP($A35,Stamgegevens!$A$8:$AE$36,Stamgegevens!$N$1)</f>
        <v>0</v>
      </c>
      <c r="J35" s="44">
        <f t="shared" ref="J35" ca="1" si="5">F35*I35</f>
        <v>0</v>
      </c>
      <c r="K35" s="61"/>
      <c r="L35" s="44">
        <f ca="1">VLOOKUP($A35,Stamgegevens!$A$8:$AE$36,Stamgegevens!$P$1)</f>
        <v>10.159049508253199</v>
      </c>
      <c r="M35" s="44">
        <f ca="1">VLOOKUP($A35,Stamgegevens!$A$8:$AE$36,Stamgegevens!$Q$1)</f>
        <v>10.159049508253199</v>
      </c>
      <c r="N35" s="44"/>
      <c r="O35" s="44">
        <f ca="1">VLOOKUP($A35,Stamgegevens!$A$8:$AE$36,Stamgegevens!$S$1)</f>
        <v>1.6960015873544568E-2</v>
      </c>
      <c r="P35" s="44">
        <f t="shared" si="3"/>
        <v>0.02</v>
      </c>
      <c r="Q35" s="44">
        <f ca="1">VLOOKUP($A35,Stamgegevens!$A$8:$AE$36,Stamgegevens!$U$1)</f>
        <v>0</v>
      </c>
      <c r="R35" s="44">
        <f ca="1">VLOOKUP($A35,Stamgegevens!$A$8:$AE$36,Stamgegevens!$T$1)</f>
        <v>0.25440023810316859</v>
      </c>
      <c r="S35" s="44">
        <f t="shared" si="4"/>
        <v>0</v>
      </c>
      <c r="T35" s="44"/>
      <c r="U35" s="154">
        <f t="shared" ca="1" si="1"/>
        <v>1101</v>
      </c>
      <c r="V35" s="154"/>
      <c r="W35" s="44"/>
      <c r="X35" s="44">
        <f ca="1">VLOOKUP($A35,Stamgegevens!$A$8:$AE$36,Stamgegevens!$W$1)</f>
        <v>3.5</v>
      </c>
      <c r="Y35" s="44"/>
      <c r="Z35" s="44">
        <f ca="1">VLOOKUP($A35,Stamgegevens!$A$8:$AE$36,Stamgegevens!$Y$1)</f>
        <v>-0.02</v>
      </c>
      <c r="AA35" s="44"/>
      <c r="AB35" s="88">
        <f ca="1">VLOOKUP($A35,Stamgegevens!$A$8:$AE$36,Stamgegevens!$AA$1)</f>
        <v>14</v>
      </c>
      <c r="AC35" s="44"/>
      <c r="AD35" s="44">
        <f ca="1">VLOOKUP($A35,Stamgegevens!$A$8:$AE$36,Stamgegevens!$AC$1)</f>
        <v>0.2</v>
      </c>
      <c r="AE35" s="44"/>
      <c r="AF35" s="61">
        <f ca="1">VLOOKUP($A35,Stamgegevens!$A$8:$AE$36,Stamgegevens!$AE$1)</f>
        <v>0.85</v>
      </c>
    </row>
  </sheetData>
  <printOptions headings="1" gridLines="1"/>
  <pageMargins left="0.70866141732283472" right="0.70866141732283472" top="0.74803149606299213" bottom="0.74803149606299213" header="0.31496062992125984" footer="0.31496062992125984"/>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AF96E-27D0-47C0-BBBD-DA493C2A5DFF}">
  <sheetPr>
    <pageSetUpPr fitToPage="1"/>
  </sheetPr>
  <dimension ref="A1:T44"/>
  <sheetViews>
    <sheetView topLeftCell="A13" workbookViewId="0">
      <selection activeCell="O90" sqref="O90:T90"/>
    </sheetView>
  </sheetViews>
  <sheetFormatPr baseColWidth="10" defaultColWidth="9" defaultRowHeight="15"/>
  <cols>
    <col min="1" max="1" width="9" style="161"/>
    <col min="2" max="2" width="11.1640625" style="161" customWidth="1"/>
    <col min="3" max="3" width="9.1640625" style="161" bestFit="1" customWidth="1"/>
    <col min="4" max="4" width="8.83203125" style="161" bestFit="1" customWidth="1"/>
    <col min="5" max="5" width="9.33203125" style="161" customWidth="1"/>
    <col min="6" max="6" width="9.1640625" style="161" bestFit="1" customWidth="1"/>
    <col min="7" max="10" width="9" style="161"/>
    <col min="11" max="11" width="9.1640625" style="161" bestFit="1" customWidth="1"/>
    <col min="12" max="12" width="11.1640625" style="161" customWidth="1"/>
    <col min="13" max="13" width="9.1640625" style="161" bestFit="1" customWidth="1"/>
    <col min="14" max="14" width="8.83203125" style="161" bestFit="1" customWidth="1"/>
    <col min="15" max="15" width="9.33203125" style="161" customWidth="1"/>
    <col min="16" max="16" width="9.1640625" style="161" bestFit="1" customWidth="1"/>
    <col min="17" max="16384" width="9" style="161"/>
  </cols>
  <sheetData>
    <row r="1" spans="1:20">
      <c r="B1" s="215" t="s">
        <v>541</v>
      </c>
      <c r="L1" s="215" t="s">
        <v>542</v>
      </c>
    </row>
    <row r="2" spans="1:20">
      <c r="L2" s="215"/>
    </row>
    <row r="3" spans="1:20">
      <c r="B3" s="161" t="s">
        <v>415</v>
      </c>
      <c r="D3" s="161">
        <f ca="1">Opbrengsten!H32</f>
        <v>10950</v>
      </c>
      <c r="L3" s="161" t="s">
        <v>415</v>
      </c>
      <c r="N3" s="161">
        <f ca="1">Cycli!F30</f>
        <v>10950</v>
      </c>
    </row>
    <row r="4" spans="1:20">
      <c r="B4" s="161" t="s">
        <v>411</v>
      </c>
      <c r="D4" s="161">
        <f>Calculator!U98</f>
        <v>10000</v>
      </c>
      <c r="L4" s="161" t="s">
        <v>411</v>
      </c>
      <c r="N4" s="161">
        <f>D4</f>
        <v>10000</v>
      </c>
    </row>
    <row r="5" spans="1:20">
      <c r="B5" s="161" t="s">
        <v>412</v>
      </c>
      <c r="D5" s="167">
        <f>Calculator!R100</f>
        <v>0.7</v>
      </c>
      <c r="L5" s="161" t="s">
        <v>412</v>
      </c>
      <c r="N5" s="167">
        <f>D5</f>
        <v>0.7</v>
      </c>
    </row>
    <row r="7" spans="1:20">
      <c r="B7" s="161" t="s">
        <v>402</v>
      </c>
      <c r="D7" s="162">
        <f ca="1">((D3/D4)*(1-D5))*100</f>
        <v>32.85</v>
      </c>
      <c r="E7" s="161" t="s">
        <v>403</v>
      </c>
      <c r="G7" s="167"/>
      <c r="L7" s="161" t="s">
        <v>402</v>
      </c>
      <c r="N7" s="162">
        <f ca="1">((N3/N4)*(1-N5))*100</f>
        <v>32.85</v>
      </c>
      <c r="O7" s="161" t="s">
        <v>403</v>
      </c>
      <c r="Q7" s="167"/>
    </row>
    <row r="8" spans="1:20">
      <c r="B8" s="161" t="s">
        <v>404</v>
      </c>
      <c r="D8" s="161">
        <v>20</v>
      </c>
      <c r="E8" s="161" t="s">
        <v>35</v>
      </c>
      <c r="L8" s="161" t="s">
        <v>404</v>
      </c>
      <c r="N8" s="161">
        <v>20</v>
      </c>
      <c r="O8" s="161" t="s">
        <v>35</v>
      </c>
    </row>
    <row r="9" spans="1:20">
      <c r="B9" s="171" t="s">
        <v>416</v>
      </c>
      <c r="D9" s="163">
        <f ca="1">RATE(D8,-D7/10,D7,0,0)</f>
        <v>7.7546895300113827E-2</v>
      </c>
      <c r="L9" s="171" t="s">
        <v>416</v>
      </c>
      <c r="N9" s="163">
        <f ca="1">RATE(N8,-N7/10,N7,0,0)</f>
        <v>7.7546895300113827E-2</v>
      </c>
    </row>
    <row r="10" spans="1:20">
      <c r="B10" s="161" t="s">
        <v>405</v>
      </c>
      <c r="D10" s="164">
        <f>Calculator!R92</f>
        <v>21.85</v>
      </c>
      <c r="E10" s="165">
        <f>Calculator!R94</f>
        <v>0.96</v>
      </c>
      <c r="F10" s="162">
        <f>D10*E10</f>
        <v>20.975999999999999</v>
      </c>
      <c r="L10" s="161" t="s">
        <v>405</v>
      </c>
      <c r="N10" s="164">
        <f>D10</f>
        <v>21.85</v>
      </c>
      <c r="O10" s="165">
        <f>E10</f>
        <v>0.96</v>
      </c>
      <c r="P10" s="162">
        <f>F10</f>
        <v>20.975999999999999</v>
      </c>
    </row>
    <row r="11" spans="1:20">
      <c r="D11" s="164"/>
      <c r="N11" s="164"/>
    </row>
    <row r="13" spans="1:20" s="166" customFormat="1">
      <c r="C13" s="166" t="s">
        <v>402</v>
      </c>
      <c r="D13" s="166" t="s">
        <v>300</v>
      </c>
      <c r="E13" s="166" t="s">
        <v>300</v>
      </c>
      <c r="F13" s="166" t="s">
        <v>402</v>
      </c>
      <c r="I13" s="166" t="s">
        <v>543</v>
      </c>
      <c r="M13" s="166" t="s">
        <v>402</v>
      </c>
      <c r="N13" s="166" t="s">
        <v>300</v>
      </c>
      <c r="O13" s="166" t="s">
        <v>300</v>
      </c>
      <c r="P13" s="166" t="s">
        <v>402</v>
      </c>
      <c r="S13" s="166" t="s">
        <v>543</v>
      </c>
    </row>
    <row r="14" spans="1:20" s="166" customFormat="1">
      <c r="C14" s="166" t="s">
        <v>406</v>
      </c>
      <c r="D14" s="166" t="s">
        <v>320</v>
      </c>
      <c r="E14" s="166" t="s">
        <v>413</v>
      </c>
      <c r="F14" s="166" t="s">
        <v>414</v>
      </c>
      <c r="G14" s="166" t="s">
        <v>405</v>
      </c>
      <c r="H14" s="166" t="s">
        <v>407</v>
      </c>
      <c r="I14" s="166" t="s">
        <v>544</v>
      </c>
      <c r="J14" s="166" t="s">
        <v>408</v>
      </c>
      <c r="M14" s="166" t="s">
        <v>406</v>
      </c>
      <c r="N14" s="166" t="s">
        <v>320</v>
      </c>
      <c r="O14" s="166" t="s">
        <v>413</v>
      </c>
      <c r="P14" s="166" t="s">
        <v>414</v>
      </c>
      <c r="Q14" s="166" t="s">
        <v>405</v>
      </c>
      <c r="R14" s="166" t="s">
        <v>407</v>
      </c>
      <c r="S14" s="166" t="s">
        <v>544</v>
      </c>
      <c r="T14" s="166" t="s">
        <v>408</v>
      </c>
    </row>
    <row r="15" spans="1:20">
      <c r="G15" s="167">
        <v>1</v>
      </c>
      <c r="H15" s="167"/>
      <c r="I15" s="167"/>
      <c r="Q15" s="167">
        <v>1</v>
      </c>
      <c r="R15" s="167"/>
      <c r="S15" s="167"/>
    </row>
    <row r="16" spans="1:20">
      <c r="A16" s="183"/>
      <c r="B16" s="161">
        <v>1</v>
      </c>
      <c r="C16" s="167">
        <f ca="1">-(CUMIPMT($D$9,$D$8,$D$7,B16,B16,0))/100</f>
        <v>2.5474155106087394E-2</v>
      </c>
      <c r="D16" s="168"/>
      <c r="E16" s="168">
        <f ca="1">Opbrengsten!C5</f>
        <v>8.4931506849315067E-2</v>
      </c>
      <c r="F16" s="167">
        <f t="shared" ref="F16" ca="1" si="0">((C15*D16)+(C16*E16))</f>
        <v>2.1635583788731758E-3</v>
      </c>
      <c r="G16" s="167">
        <f ca="1">G15-F16</f>
        <v>0.99783644162112684</v>
      </c>
      <c r="H16" s="167">
        <f ca="1">(G15+G16)/2</f>
        <v>0.99891822081056336</v>
      </c>
      <c r="I16" s="216">
        <f ca="1">Opbrengsten!F12</f>
        <v>1.5</v>
      </c>
      <c r="J16" s="161">
        <f ca="1">H16*$F$10*I16*365*E16</f>
        <v>974.32884988709054</v>
      </c>
      <c r="L16" s="161">
        <v>1</v>
      </c>
      <c r="M16" s="167">
        <f t="shared" ref="M16:M35" ca="1" si="1">-(CUMIPMT($N$9,$N$8,$N$7,L16,L16,0))/100</f>
        <v>2.5474155106087394E-2</v>
      </c>
      <c r="N16" s="168"/>
      <c r="O16" s="168">
        <f ca="1">E16</f>
        <v>8.4931506849315067E-2</v>
      </c>
      <c r="P16" s="167">
        <f t="shared" ref="P16" ca="1" si="2">((M15*N16)+(M16*O16))</f>
        <v>2.1635583788731758E-3</v>
      </c>
      <c r="Q16" s="167">
        <f ca="1">Q15-P16</f>
        <v>0.99783644162112684</v>
      </c>
      <c r="R16" s="167">
        <f ca="1">(Q15+Q16)/2</f>
        <v>0.99891822081056336</v>
      </c>
      <c r="S16" s="216">
        <f ca="1">Cycli!D10</f>
        <v>1.5</v>
      </c>
      <c r="T16" s="161">
        <f ca="1">R16*$F$10*S16*365*O16</f>
        <v>974.32884988709054</v>
      </c>
    </row>
    <row r="17" spans="1:20">
      <c r="A17" s="183"/>
      <c r="B17" s="161">
        <v>2</v>
      </c>
      <c r="C17" s="167">
        <f t="shared" ref="C17:C35" ca="1" si="3">-(CUMIPMT($D$9,$D$8,$D$7,B17,B17,0))/100</f>
        <v>2.4902181234349105E-2</v>
      </c>
      <c r="D17" s="168">
        <f ca="1">1-E16</f>
        <v>0.91506849315068495</v>
      </c>
      <c r="E17" s="168">
        <f ca="1">1-D17</f>
        <v>8.4931506849315053E-2</v>
      </c>
      <c r="F17" s="167">
        <f ca="1">((C16*D17)+(C17*E17))</f>
        <v>2.5425576503282223E-2</v>
      </c>
      <c r="G17" s="167">
        <f t="shared" ref="G17:G36" ca="1" si="4">G16-F17</f>
        <v>0.97241086511784458</v>
      </c>
      <c r="H17" s="167">
        <f t="shared" ref="H17:H36" ca="1" si="5">(G16+G17)/2</f>
        <v>0.98512365336948571</v>
      </c>
      <c r="I17" s="216">
        <f ca="1">Opbrengsten!F13</f>
        <v>1.5</v>
      </c>
      <c r="J17" s="161">
        <f ca="1">H17*$F$10*I17*365</f>
        <v>11313.514679810387</v>
      </c>
      <c r="L17" s="161">
        <v>2</v>
      </c>
      <c r="M17" s="167">
        <f t="shared" ca="1" si="1"/>
        <v>2.4902181234349105E-2</v>
      </c>
      <c r="N17" s="168">
        <f ca="1">1-O16</f>
        <v>0.91506849315068495</v>
      </c>
      <c r="O17" s="168">
        <f ca="1">1-N17</f>
        <v>8.4931506849315053E-2</v>
      </c>
      <c r="P17" s="167">
        <f ca="1">((M16*N17)+(M17*O17))</f>
        <v>2.5425576503282223E-2</v>
      </c>
      <c r="Q17" s="167">
        <f t="shared" ref="Q17:Q36" ca="1" si="6">Q16-P17</f>
        <v>0.97241086511784458</v>
      </c>
      <c r="R17" s="167">
        <f t="shared" ref="R17:R36" ca="1" si="7">(Q16+Q17)/2</f>
        <v>0.98512365336948571</v>
      </c>
      <c r="S17" s="216">
        <f ca="1">Cycli!D11</f>
        <v>1.5</v>
      </c>
      <c r="T17" s="161">
        <f ca="1">R17*$F$10*S16*365</f>
        <v>11313.514679810387</v>
      </c>
    </row>
    <row r="18" spans="1:20">
      <c r="A18" s="183"/>
      <c r="B18" s="161">
        <v>3</v>
      </c>
      <c r="C18" s="167">
        <f t="shared" ca="1" si="3"/>
        <v>2.4285852564664728E-2</v>
      </c>
      <c r="D18" s="168">
        <f t="shared" ref="D18:D36" ca="1" si="8">1-E17</f>
        <v>0.91506849315068495</v>
      </c>
      <c r="E18" s="168">
        <f t="shared" ref="E18:E35" ca="1" si="9">1-D18</f>
        <v>8.4931506849315053E-2</v>
      </c>
      <c r="F18" s="167">
        <f t="shared" ref="F18:F35" ca="1" si="10">((C17*D18)+(C18*E18))</f>
        <v>2.4849835511718377E-2</v>
      </c>
      <c r="G18" s="167">
        <f t="shared" ca="1" si="4"/>
        <v>0.9475610296061262</v>
      </c>
      <c r="H18" s="167">
        <f t="shared" ca="1" si="5"/>
        <v>0.95998594736198539</v>
      </c>
      <c r="I18" s="216">
        <f ca="1">Opbrengsten!F14</f>
        <v>1.5</v>
      </c>
      <c r="J18" s="161">
        <f t="shared" ref="J18:J35" ca="1" si="11">H18*$F$10*I18*365</f>
        <v>11024.824214446091</v>
      </c>
      <c r="L18" s="161">
        <v>3</v>
      </c>
      <c r="M18" s="167">
        <f t="shared" ca="1" si="1"/>
        <v>2.4285852564664728E-2</v>
      </c>
      <c r="N18" s="168">
        <f t="shared" ref="N18:N36" ca="1" si="12">1-O17</f>
        <v>0.91506849315068495</v>
      </c>
      <c r="O18" s="168">
        <f t="shared" ref="O18:O35" ca="1" si="13">1-N18</f>
        <v>8.4931506849315053E-2</v>
      </c>
      <c r="P18" s="167">
        <f t="shared" ref="P18:P36" ca="1" si="14">((M17*N18)+(M18*O18))</f>
        <v>2.4849835511718377E-2</v>
      </c>
      <c r="Q18" s="167">
        <f t="shared" ca="1" si="6"/>
        <v>0.9475610296061262</v>
      </c>
      <c r="R18" s="167">
        <f t="shared" ca="1" si="7"/>
        <v>0.95998594736198539</v>
      </c>
      <c r="S18" s="216">
        <f ca="1">Cycli!D12</f>
        <v>1.5</v>
      </c>
      <c r="T18" s="161">
        <f t="shared" ref="T18:T35" ca="1" si="15">R18*$F$10*S17*365</f>
        <v>11024.824214446091</v>
      </c>
    </row>
    <row r="19" spans="1:20">
      <c r="A19" s="183"/>
      <c r="B19" s="161">
        <f>B18+1</f>
        <v>4</v>
      </c>
      <c r="C19" s="167">
        <f t="shared" ca="1" si="3"/>
        <v>2.362172952016188E-2</v>
      </c>
      <c r="D19" s="168">
        <f t="shared" ca="1" si="8"/>
        <v>0.91506849315068495</v>
      </c>
      <c r="E19" s="168">
        <f t="shared" ca="1" si="9"/>
        <v>8.4931506849315053E-2</v>
      </c>
      <c r="F19" s="167">
        <f t="shared" ca="1" si="10"/>
        <v>2.4229447593761746E-2</v>
      </c>
      <c r="G19" s="167">
        <f t="shared" ca="1" si="4"/>
        <v>0.92333158201236443</v>
      </c>
      <c r="H19" s="167">
        <f t="shared" ca="1" si="5"/>
        <v>0.93544630580924526</v>
      </c>
      <c r="I19" s="216">
        <f ca="1">Opbrengsten!F15</f>
        <v>1.5</v>
      </c>
      <c r="J19" s="161">
        <f t="shared" ca="1" si="11"/>
        <v>10743.002136583464</v>
      </c>
      <c r="L19" s="161">
        <f>L18+1</f>
        <v>4</v>
      </c>
      <c r="M19" s="167">
        <f t="shared" ca="1" si="1"/>
        <v>2.362172952016188E-2</v>
      </c>
      <c r="N19" s="168">
        <f t="shared" ca="1" si="12"/>
        <v>0.91506849315068495</v>
      </c>
      <c r="O19" s="168">
        <f t="shared" ca="1" si="13"/>
        <v>8.4931506849315053E-2</v>
      </c>
      <c r="P19" s="167">
        <f t="shared" ca="1" si="14"/>
        <v>2.4229447593761746E-2</v>
      </c>
      <c r="Q19" s="167">
        <f t="shared" ca="1" si="6"/>
        <v>0.92333158201236443</v>
      </c>
      <c r="R19" s="167">
        <f t="shared" ca="1" si="7"/>
        <v>0.93544630580924526</v>
      </c>
      <c r="S19" s="216">
        <f ca="1">Cycli!D13</f>
        <v>1.5</v>
      </c>
      <c r="T19" s="161">
        <f t="shared" ca="1" si="15"/>
        <v>10743.002136583464</v>
      </c>
    </row>
    <row r="20" spans="1:20">
      <c r="A20" s="183"/>
      <c r="B20" s="161">
        <f t="shared" ref="B20:B36" si="16">B19+1</f>
        <v>5</v>
      </c>
      <c r="C20" s="167">
        <f t="shared" ca="1" si="3"/>
        <v>2.2906105795460575E-2</v>
      </c>
      <c r="D20" s="168">
        <f t="shared" ca="1" si="8"/>
        <v>0.91506849315068495</v>
      </c>
      <c r="E20" s="168">
        <f t="shared" ca="1" si="9"/>
        <v>8.4931506849315053E-2</v>
      </c>
      <c r="F20" s="167">
        <f t="shared" ca="1" si="10"/>
        <v>2.3560950518885879E-2</v>
      </c>
      <c r="G20" s="167">
        <f t="shared" ca="1" si="4"/>
        <v>0.89977063149347858</v>
      </c>
      <c r="H20" s="167">
        <f t="shared" ca="1" si="5"/>
        <v>0.9115511067529215</v>
      </c>
      <c r="I20" s="216">
        <f ca="1">Opbrengsten!F16</f>
        <v>1.5</v>
      </c>
      <c r="J20" s="161">
        <f t="shared" ca="1" si="11"/>
        <v>10468.58106834898</v>
      </c>
      <c r="L20" s="161">
        <f t="shared" ref="L20:L36" si="17">L19+1</f>
        <v>5</v>
      </c>
      <c r="M20" s="167">
        <f t="shared" ca="1" si="1"/>
        <v>2.2906105795460575E-2</v>
      </c>
      <c r="N20" s="168">
        <f t="shared" ca="1" si="12"/>
        <v>0.91506849315068495</v>
      </c>
      <c r="O20" s="168">
        <f t="shared" ca="1" si="13"/>
        <v>8.4931506849315053E-2</v>
      </c>
      <c r="P20" s="167">
        <f t="shared" ca="1" si="14"/>
        <v>2.3560950518885879E-2</v>
      </c>
      <c r="Q20" s="167">
        <f t="shared" ca="1" si="6"/>
        <v>0.89977063149347858</v>
      </c>
      <c r="R20" s="167">
        <f t="shared" ca="1" si="7"/>
        <v>0.9115511067529215</v>
      </c>
      <c r="S20" s="216">
        <f ca="1">Cycli!D14</f>
        <v>1.5</v>
      </c>
      <c r="T20" s="161">
        <f t="shared" ca="1" si="15"/>
        <v>10468.58106834898</v>
      </c>
    </row>
    <row r="21" spans="1:20">
      <c r="A21" s="183"/>
      <c r="B21" s="161">
        <f t="shared" si="16"/>
        <v>6</v>
      </c>
      <c r="C21" s="167">
        <f t="shared" ca="1" si="3"/>
        <v>2.2134987672705577E-2</v>
      </c>
      <c r="D21" s="168">
        <f t="shared" ca="1" si="8"/>
        <v>0.91506849315068495</v>
      </c>
      <c r="E21" s="168">
        <f t="shared" ca="1" si="9"/>
        <v>8.4931506849315053E-2</v>
      </c>
      <c r="F21" s="167">
        <f t="shared" ca="1" si="10"/>
        <v>2.2840613571336175E-2</v>
      </c>
      <c r="G21" s="167">
        <f t="shared" ca="1" si="4"/>
        <v>0.87693001792214242</v>
      </c>
      <c r="H21" s="167">
        <f t="shared" ca="1" si="5"/>
        <v>0.8883503247078105</v>
      </c>
      <c r="I21" s="216">
        <f ca="1">Opbrengsten!F17</f>
        <v>1.5</v>
      </c>
      <c r="J21" s="161">
        <f t="shared" ca="1" si="11"/>
        <v>10202.134935061391</v>
      </c>
      <c r="L21" s="161">
        <f t="shared" si="17"/>
        <v>6</v>
      </c>
      <c r="M21" s="167">
        <f t="shared" ca="1" si="1"/>
        <v>2.2134987672705577E-2</v>
      </c>
      <c r="N21" s="168">
        <f t="shared" ca="1" si="12"/>
        <v>0.91506849315068495</v>
      </c>
      <c r="O21" s="168">
        <f t="shared" ca="1" si="13"/>
        <v>8.4931506849315053E-2</v>
      </c>
      <c r="P21" s="167">
        <f t="shared" ca="1" si="14"/>
        <v>2.2840613571336175E-2</v>
      </c>
      <c r="Q21" s="167">
        <f t="shared" ca="1" si="6"/>
        <v>0.87693001792214242</v>
      </c>
      <c r="R21" s="167">
        <f t="shared" ca="1" si="7"/>
        <v>0.8883503247078105</v>
      </c>
      <c r="S21" s="216">
        <f ca="1">Cycli!D15</f>
        <v>1.5</v>
      </c>
      <c r="T21" s="161">
        <f t="shared" ca="1" si="15"/>
        <v>10202.134935061391</v>
      </c>
    </row>
    <row r="22" spans="1:20">
      <c r="A22" s="183"/>
      <c r="B22" s="161">
        <f t="shared" si="16"/>
        <v>7</v>
      </c>
      <c r="C22" s="167">
        <f t="shared" ca="1" si="3"/>
        <v>2.130407173362129E-2</v>
      </c>
      <c r="D22" s="168">
        <f t="shared" ca="1" si="8"/>
        <v>0.91506849315068495</v>
      </c>
      <c r="E22" s="168">
        <f t="shared" ca="1" si="9"/>
        <v>8.4931506849315053E-2</v>
      </c>
      <c r="F22" s="167">
        <f t="shared" ca="1" si="10"/>
        <v>2.2064416729934037E-2</v>
      </c>
      <c r="G22" s="167">
        <f t="shared" ca="1" si="4"/>
        <v>0.85486560119220834</v>
      </c>
      <c r="H22" s="167">
        <f t="shared" ca="1" si="5"/>
        <v>0.86589780955717544</v>
      </c>
      <c r="I22" s="216">
        <f ca="1">Opbrengsten!F18</f>
        <v>1.5</v>
      </c>
      <c r="J22" s="161">
        <f t="shared" ca="1" si="11"/>
        <v>9944.2821681660425</v>
      </c>
      <c r="L22" s="161">
        <f t="shared" si="17"/>
        <v>7</v>
      </c>
      <c r="M22" s="167">
        <f t="shared" ca="1" si="1"/>
        <v>2.130407173362129E-2</v>
      </c>
      <c r="N22" s="168">
        <f t="shared" ca="1" si="12"/>
        <v>0.91506849315068495</v>
      </c>
      <c r="O22" s="168">
        <f t="shared" ca="1" si="13"/>
        <v>8.4931506849315053E-2</v>
      </c>
      <c r="P22" s="167">
        <f t="shared" ca="1" si="14"/>
        <v>2.2064416729934037E-2</v>
      </c>
      <c r="Q22" s="167">
        <f t="shared" ca="1" si="6"/>
        <v>0.85486560119220834</v>
      </c>
      <c r="R22" s="167">
        <f t="shared" ca="1" si="7"/>
        <v>0.86589780955717544</v>
      </c>
      <c r="S22" s="216">
        <f ca="1">Cycli!D16</f>
        <v>1.5</v>
      </c>
      <c r="T22" s="161">
        <f t="shared" ca="1" si="15"/>
        <v>9944.2821681660425</v>
      </c>
    </row>
    <row r="23" spans="1:20">
      <c r="A23" s="183"/>
      <c r="B23" s="161">
        <f t="shared" si="16"/>
        <v>8</v>
      </c>
      <c r="C23" s="167">
        <f t="shared" ca="1" si="3"/>
        <v>2.0408720843205622E-2</v>
      </c>
      <c r="D23" s="168">
        <f t="shared" ca="1" si="8"/>
        <v>0.91506849315068495</v>
      </c>
      <c r="E23" s="168">
        <f t="shared" ca="1" si="9"/>
        <v>8.4931506849315053E-2</v>
      </c>
      <c r="F23" s="167">
        <f t="shared" ca="1" si="10"/>
        <v>2.122802823333941E-2</v>
      </c>
      <c r="G23" s="167">
        <f t="shared" ca="1" si="4"/>
        <v>0.83363757295886898</v>
      </c>
      <c r="H23" s="167">
        <f t="shared" ca="1" si="5"/>
        <v>0.84425158707553871</v>
      </c>
      <c r="I23" s="216">
        <f ca="1">Opbrengsten!F19</f>
        <v>1.5</v>
      </c>
      <c r="J23" s="161">
        <f t="shared" ca="1" si="11"/>
        <v>9695.6891565468341</v>
      </c>
      <c r="L23" s="161">
        <f t="shared" si="17"/>
        <v>8</v>
      </c>
      <c r="M23" s="167">
        <f t="shared" ca="1" si="1"/>
        <v>2.0408720843205622E-2</v>
      </c>
      <c r="N23" s="168">
        <f t="shared" ca="1" si="12"/>
        <v>0.91506849315068495</v>
      </c>
      <c r="O23" s="168">
        <f t="shared" ca="1" si="13"/>
        <v>8.4931506849315053E-2</v>
      </c>
      <c r="P23" s="167">
        <f t="shared" ca="1" si="14"/>
        <v>2.122802823333941E-2</v>
      </c>
      <c r="Q23" s="167">
        <f t="shared" ca="1" si="6"/>
        <v>0.83363757295886898</v>
      </c>
      <c r="R23" s="167">
        <f t="shared" ca="1" si="7"/>
        <v>0.84425158707553871</v>
      </c>
      <c r="S23" s="216">
        <f ca="1">Cycli!D17</f>
        <v>1.5</v>
      </c>
      <c r="T23" s="161">
        <f t="shared" ca="1" si="15"/>
        <v>9695.6891565468341</v>
      </c>
    </row>
    <row r="24" spans="1:20">
      <c r="A24" s="183"/>
      <c r="B24" s="161">
        <f t="shared" si="16"/>
        <v>9</v>
      </c>
      <c r="C24" s="167">
        <f t="shared" ca="1" si="3"/>
        <v>1.9443938271034036E-2</v>
      </c>
      <c r="D24" s="168">
        <f t="shared" ca="1" si="8"/>
        <v>0.91506849315068495</v>
      </c>
      <c r="E24" s="168">
        <f t="shared" ca="1" si="9"/>
        <v>8.4931506849315053E-2</v>
      </c>
      <c r="F24" s="167">
        <f t="shared" ca="1" si="10"/>
        <v>2.0326780405569133E-2</v>
      </c>
      <c r="G24" s="167">
        <f t="shared" ca="1" si="4"/>
        <v>0.81331079255329986</v>
      </c>
      <c r="H24" s="167">
        <f t="shared" ca="1" si="5"/>
        <v>0.82347418275608442</v>
      </c>
      <c r="I24" s="216">
        <f ca="1">Opbrengsten!F20</f>
        <v>1.5</v>
      </c>
      <c r="J24" s="161">
        <f t="shared" ca="1" si="11"/>
        <v>9457.0739654766658</v>
      </c>
      <c r="L24" s="161">
        <f t="shared" si="17"/>
        <v>9</v>
      </c>
      <c r="M24" s="167">
        <f t="shared" ca="1" si="1"/>
        <v>1.9443938271034036E-2</v>
      </c>
      <c r="N24" s="168">
        <f t="shared" ca="1" si="12"/>
        <v>0.91506849315068495</v>
      </c>
      <c r="O24" s="168">
        <f t="shared" ca="1" si="13"/>
        <v>8.4931506849315053E-2</v>
      </c>
      <c r="P24" s="167">
        <f t="shared" ca="1" si="14"/>
        <v>2.0326780405569133E-2</v>
      </c>
      <c r="Q24" s="167">
        <f t="shared" ca="1" si="6"/>
        <v>0.81331079255329986</v>
      </c>
      <c r="R24" s="167">
        <f t="shared" ca="1" si="7"/>
        <v>0.82347418275608442</v>
      </c>
      <c r="S24" s="216">
        <f ca="1">Cycli!D18</f>
        <v>1.5</v>
      </c>
      <c r="T24" s="161">
        <f t="shared" ca="1" si="15"/>
        <v>9457.0739654766658</v>
      </c>
    </row>
    <row r="25" spans="1:20">
      <c r="A25" s="183"/>
      <c r="B25" s="161">
        <f t="shared" si="16"/>
        <v>10</v>
      </c>
      <c r="C25" s="167">
        <f t="shared" ca="1" si="3"/>
        <v>1.8404339805750881E-2</v>
      </c>
      <c r="D25" s="168">
        <f t="shared" ca="1" si="8"/>
        <v>0.91506849315068495</v>
      </c>
      <c r="E25" s="168">
        <f t="shared" ca="1" si="9"/>
        <v>8.4931506849315053E-2</v>
      </c>
      <c r="F25" s="167">
        <f t="shared" ca="1" si="10"/>
        <v>1.9355643606859301E-2</v>
      </c>
      <c r="G25" s="167">
        <f t="shared" ca="1" si="4"/>
        <v>0.79395514894644059</v>
      </c>
      <c r="H25" s="167">
        <f t="shared" ca="1" si="5"/>
        <v>0.80363297074987017</v>
      </c>
      <c r="I25" s="216">
        <f ca="1">Opbrengsten!F21</f>
        <v>1.5</v>
      </c>
      <c r="J25" s="161">
        <f t="shared" ca="1" si="11"/>
        <v>9229.2103439609782</v>
      </c>
      <c r="L25" s="161">
        <f t="shared" si="17"/>
        <v>10</v>
      </c>
      <c r="M25" s="167">
        <f t="shared" ca="1" si="1"/>
        <v>1.8404339805750881E-2</v>
      </c>
      <c r="N25" s="168">
        <f t="shared" ca="1" si="12"/>
        <v>0.91506849315068495</v>
      </c>
      <c r="O25" s="168">
        <f t="shared" ca="1" si="13"/>
        <v>8.4931506849315053E-2</v>
      </c>
      <c r="P25" s="167">
        <f t="shared" ca="1" si="14"/>
        <v>1.9355643606859301E-2</v>
      </c>
      <c r="Q25" s="167">
        <f t="shared" ca="1" si="6"/>
        <v>0.79395514894644059</v>
      </c>
      <c r="R25" s="167">
        <f t="shared" ca="1" si="7"/>
        <v>0.80363297074987017</v>
      </c>
      <c r="S25" s="216">
        <f ca="1">Cycli!D19</f>
        <v>1.5</v>
      </c>
      <c r="T25" s="161">
        <f t="shared" ca="1" si="15"/>
        <v>9229.2103439609782</v>
      </c>
    </row>
    <row r="26" spans="1:20">
      <c r="A26" s="183"/>
      <c r="B26" s="161">
        <f t="shared" si="16"/>
        <v>11</v>
      </c>
      <c r="C26" s="167">
        <f t="shared" ca="1" si="3"/>
        <v>1.7284123707126262E-2</v>
      </c>
      <c r="D26" s="168">
        <f t="shared" ca="1" si="8"/>
        <v>0.91506849315068495</v>
      </c>
      <c r="E26" s="168">
        <f t="shared" ca="1" si="9"/>
        <v>8.4931506849315053E-2</v>
      </c>
      <c r="F26" s="167">
        <f t="shared" ca="1" si="10"/>
        <v>1.8309198164497831E-2</v>
      </c>
      <c r="G26" s="167">
        <f t="shared" ca="1" si="4"/>
        <v>0.77564595078194276</v>
      </c>
      <c r="H26" s="167">
        <f t="shared" ca="1" si="5"/>
        <v>0.78480054986419168</v>
      </c>
      <c r="I26" s="216">
        <f ca="1">Opbrengsten!F22</f>
        <v>1.5</v>
      </c>
      <c r="J26" s="161">
        <f t="shared" ca="1" si="11"/>
        <v>9012.9320428383289</v>
      </c>
      <c r="L26" s="161">
        <f t="shared" si="17"/>
        <v>11</v>
      </c>
      <c r="M26" s="167">
        <f t="shared" ca="1" si="1"/>
        <v>1.7284123707126262E-2</v>
      </c>
      <c r="N26" s="168">
        <f t="shared" ca="1" si="12"/>
        <v>0.91506849315068495</v>
      </c>
      <c r="O26" s="168">
        <f t="shared" ca="1" si="13"/>
        <v>8.4931506849315053E-2</v>
      </c>
      <c r="P26" s="167">
        <f t="shared" ca="1" si="14"/>
        <v>1.8309198164497831E-2</v>
      </c>
      <c r="Q26" s="167">
        <f t="shared" ca="1" si="6"/>
        <v>0.77564595078194276</v>
      </c>
      <c r="R26" s="167">
        <f t="shared" ca="1" si="7"/>
        <v>0.78480054986419168</v>
      </c>
      <c r="S26" s="216">
        <f ca="1">Cycli!D20</f>
        <v>1.5</v>
      </c>
      <c r="T26" s="161">
        <f t="shared" ca="1" si="15"/>
        <v>9012.9320428383289</v>
      </c>
    </row>
    <row r="27" spans="1:20">
      <c r="A27" s="183"/>
      <c r="B27" s="161">
        <f t="shared" si="16"/>
        <v>12</v>
      </c>
      <c r="C27" s="167">
        <f t="shared" ca="1" si="3"/>
        <v>1.607703832798809E-2</v>
      </c>
      <c r="D27" s="168">
        <f t="shared" ca="1" si="8"/>
        <v>0.91506849315068495</v>
      </c>
      <c r="E27" s="168">
        <f t="shared" ca="1" si="9"/>
        <v>8.4931506849315053E-2</v>
      </c>
      <c r="F27" s="167">
        <f t="shared" ca="1" si="10"/>
        <v>1.718160412698028E-2</v>
      </c>
      <c r="G27" s="167">
        <f t="shared" ca="1" si="4"/>
        <v>0.75846434665496243</v>
      </c>
      <c r="H27" s="167">
        <f t="shared" ca="1" si="5"/>
        <v>0.7670551487184526</v>
      </c>
      <c r="I27" s="216">
        <f ca="1">Opbrengsten!F23</f>
        <v>1.5</v>
      </c>
      <c r="J27" s="161">
        <f t="shared" ca="1" si="11"/>
        <v>8809.1374677362473</v>
      </c>
      <c r="L27" s="161">
        <f t="shared" si="17"/>
        <v>12</v>
      </c>
      <c r="M27" s="167">
        <f t="shared" ca="1" si="1"/>
        <v>1.607703832798809E-2</v>
      </c>
      <c r="N27" s="168">
        <f t="shared" ca="1" si="12"/>
        <v>0.91506849315068495</v>
      </c>
      <c r="O27" s="168">
        <f t="shared" ca="1" si="13"/>
        <v>8.4931506849315053E-2</v>
      </c>
      <c r="P27" s="167">
        <f t="shared" ca="1" si="14"/>
        <v>1.718160412698028E-2</v>
      </c>
      <c r="Q27" s="167">
        <f t="shared" ca="1" si="6"/>
        <v>0.75846434665496243</v>
      </c>
      <c r="R27" s="167">
        <f t="shared" ca="1" si="7"/>
        <v>0.7670551487184526</v>
      </c>
      <c r="S27" s="216">
        <f ca="1">Cycli!D21</f>
        <v>1.5</v>
      </c>
      <c r="T27" s="161">
        <f t="shared" ca="1" si="15"/>
        <v>8809.1374677362473</v>
      </c>
    </row>
    <row r="28" spans="1:20">
      <c r="A28" s="183"/>
      <c r="B28" s="161">
        <f t="shared" si="16"/>
        <v>13</v>
      </c>
      <c r="C28" s="167">
        <f t="shared" ca="1" si="3"/>
        <v>1.4776347225335593E-2</v>
      </c>
      <c r="D28" s="168">
        <f t="shared" ca="1" si="8"/>
        <v>0.91506849315068495</v>
      </c>
      <c r="E28" s="168">
        <f t="shared" ca="1" si="9"/>
        <v>8.4931506849315053E-2</v>
      </c>
      <c r="F28" s="167">
        <f t="shared" ca="1" si="10"/>
        <v>1.5966568672694317E-2</v>
      </c>
      <c r="G28" s="167">
        <f t="shared" ca="1" si="4"/>
        <v>0.74249777798226813</v>
      </c>
      <c r="H28" s="167">
        <f t="shared" ca="1" si="5"/>
        <v>0.75048106231861533</v>
      </c>
      <c r="I28" s="216">
        <f ca="1">Opbrengsten!F24</f>
        <v>1.5</v>
      </c>
      <c r="J28" s="161">
        <f t="shared" ca="1" si="11"/>
        <v>8618.794692849413</v>
      </c>
      <c r="L28" s="161">
        <f t="shared" si="17"/>
        <v>13</v>
      </c>
      <c r="M28" s="167">
        <f t="shared" ca="1" si="1"/>
        <v>1.4776347225335593E-2</v>
      </c>
      <c r="N28" s="168">
        <f t="shared" ca="1" si="12"/>
        <v>0.91506849315068495</v>
      </c>
      <c r="O28" s="168">
        <f t="shared" ca="1" si="13"/>
        <v>8.4931506849315053E-2</v>
      </c>
      <c r="P28" s="167">
        <f t="shared" ca="1" si="14"/>
        <v>1.5966568672694317E-2</v>
      </c>
      <c r="Q28" s="167">
        <f t="shared" ca="1" si="6"/>
        <v>0.74249777798226813</v>
      </c>
      <c r="R28" s="167">
        <f t="shared" ca="1" si="7"/>
        <v>0.75048106231861533</v>
      </c>
      <c r="S28" s="216">
        <f ca="1">Cycli!D22</f>
        <v>1.5</v>
      </c>
      <c r="T28" s="161">
        <f t="shared" ca="1" si="15"/>
        <v>8618.794692849413</v>
      </c>
    </row>
    <row r="29" spans="1:20">
      <c r="A29" s="183"/>
      <c r="B29" s="161">
        <f t="shared" si="16"/>
        <v>14</v>
      </c>
      <c r="C29" s="167">
        <f t="shared" ca="1" si="3"/>
        <v>1.3374791565927918E-2</v>
      </c>
      <c r="D29" s="168">
        <f t="shared" ca="1" si="8"/>
        <v>0.91506849315068495</v>
      </c>
      <c r="E29" s="168">
        <f t="shared" ca="1" si="9"/>
        <v>8.4931506849315053E-2</v>
      </c>
      <c r="F29" s="167">
        <f t="shared" ca="1" si="10"/>
        <v>1.4657310991248913E-2</v>
      </c>
      <c r="G29" s="167">
        <f t="shared" ca="1" si="4"/>
        <v>0.72784046699101923</v>
      </c>
      <c r="H29" s="167">
        <f t="shared" ca="1" si="5"/>
        <v>0.73516912248664368</v>
      </c>
      <c r="I29" s="216">
        <f ca="1">Opbrengsten!F25</f>
        <v>1.5</v>
      </c>
      <c r="J29" s="161">
        <f t="shared" ca="1" si="11"/>
        <v>8442.9468635207122</v>
      </c>
      <c r="L29" s="161">
        <f t="shared" si="17"/>
        <v>14</v>
      </c>
      <c r="M29" s="167">
        <f t="shared" ca="1" si="1"/>
        <v>1.3374791565927918E-2</v>
      </c>
      <c r="N29" s="168">
        <f t="shared" ca="1" si="12"/>
        <v>0.91506849315068495</v>
      </c>
      <c r="O29" s="168">
        <f t="shared" ca="1" si="13"/>
        <v>8.4931506849315053E-2</v>
      </c>
      <c r="P29" s="167">
        <f t="shared" ca="1" si="14"/>
        <v>1.4657310991248913E-2</v>
      </c>
      <c r="Q29" s="167">
        <f t="shared" ca="1" si="6"/>
        <v>0.72784046699101923</v>
      </c>
      <c r="R29" s="167">
        <f t="shared" ca="1" si="7"/>
        <v>0.73516912248664368</v>
      </c>
      <c r="S29" s="216">
        <f ca="1">Cycli!D23</f>
        <v>1.5</v>
      </c>
      <c r="T29" s="161">
        <f t="shared" ca="1" si="15"/>
        <v>8442.9468635207122</v>
      </c>
    </row>
    <row r="30" spans="1:20">
      <c r="A30" s="183"/>
      <c r="B30" s="161">
        <f t="shared" si="16"/>
        <v>15</v>
      </c>
      <c r="C30" s="167">
        <f t="shared" ca="1" si="3"/>
        <v>1.1864549616542864E-2</v>
      </c>
      <c r="D30" s="168">
        <f t="shared" ca="1" si="8"/>
        <v>0.91506849315068495</v>
      </c>
      <c r="E30" s="168">
        <f t="shared" ca="1" si="9"/>
        <v>8.4931506849315053E-2</v>
      </c>
      <c r="F30" s="167">
        <f t="shared" ca="1" si="10"/>
        <v>1.3246524441459597E-2</v>
      </c>
      <c r="G30" s="167">
        <f t="shared" ca="1" si="4"/>
        <v>0.71459394254955966</v>
      </c>
      <c r="H30" s="167">
        <f t="shared" ca="1" si="5"/>
        <v>0.72121720477028939</v>
      </c>
      <c r="I30" s="216">
        <f ca="1">Opbrengsten!F26</f>
        <v>1.5</v>
      </c>
      <c r="J30" s="161">
        <f t="shared" ca="1" si="11"/>
        <v>8282.7180177757218</v>
      </c>
      <c r="L30" s="161">
        <f t="shared" si="17"/>
        <v>15</v>
      </c>
      <c r="M30" s="167">
        <f t="shared" ca="1" si="1"/>
        <v>1.1864549616542864E-2</v>
      </c>
      <c r="N30" s="168">
        <f t="shared" ca="1" si="12"/>
        <v>0.91506849315068495</v>
      </c>
      <c r="O30" s="168">
        <f t="shared" ca="1" si="13"/>
        <v>8.4931506849315053E-2</v>
      </c>
      <c r="P30" s="167">
        <f t="shared" ca="1" si="14"/>
        <v>1.3246524441459597E-2</v>
      </c>
      <c r="Q30" s="167">
        <f t="shared" ca="1" si="6"/>
        <v>0.71459394254955966</v>
      </c>
      <c r="R30" s="167">
        <f t="shared" ca="1" si="7"/>
        <v>0.72121720477028939</v>
      </c>
      <c r="S30" s="216">
        <f ca="1">Cycli!D24</f>
        <v>1.5</v>
      </c>
      <c r="T30" s="161">
        <f t="shared" ca="1" si="15"/>
        <v>8282.7180177757218</v>
      </c>
    </row>
    <row r="31" spans="1:20">
      <c r="A31" s="183"/>
      <c r="B31" s="161">
        <f t="shared" si="16"/>
        <v>16</v>
      </c>
      <c r="C31" s="167">
        <f t="shared" ca="1" si="3"/>
        <v>1.0237193092831021E-2</v>
      </c>
      <c r="D31" s="168">
        <f t="shared" ca="1" si="8"/>
        <v>0.91506849315068495</v>
      </c>
      <c r="E31" s="168">
        <f t="shared" ca="1" si="9"/>
        <v>8.4931506849315053E-2</v>
      </c>
      <c r="F31" s="167">
        <f t="shared" ca="1" si="10"/>
        <v>1.1726335774802954E-2</v>
      </c>
      <c r="G31" s="167">
        <f t="shared" ca="1" si="4"/>
        <v>0.70286760677475668</v>
      </c>
      <c r="H31" s="167">
        <f t="shared" ca="1" si="5"/>
        <v>0.70873077466215817</v>
      </c>
      <c r="I31" s="216">
        <f ca="1">Opbrengsten!F27</f>
        <v>1.5</v>
      </c>
      <c r="J31" s="161">
        <f t="shared" ca="1" si="11"/>
        <v>8139.319359299102</v>
      </c>
      <c r="L31" s="161">
        <f t="shared" si="17"/>
        <v>16</v>
      </c>
      <c r="M31" s="167">
        <f t="shared" ca="1" si="1"/>
        <v>1.0237193092831021E-2</v>
      </c>
      <c r="N31" s="168">
        <f t="shared" ca="1" si="12"/>
        <v>0.91506849315068495</v>
      </c>
      <c r="O31" s="168">
        <f t="shared" ca="1" si="13"/>
        <v>8.4931506849315053E-2</v>
      </c>
      <c r="P31" s="167">
        <f t="shared" ca="1" si="14"/>
        <v>1.1726335774802954E-2</v>
      </c>
      <c r="Q31" s="167">
        <f t="shared" ca="1" si="6"/>
        <v>0.70286760677475668</v>
      </c>
      <c r="R31" s="167">
        <f t="shared" ca="1" si="7"/>
        <v>0.70873077466215817</v>
      </c>
      <c r="S31" s="216">
        <f ca="1">Cycli!D25</f>
        <v>1.5</v>
      </c>
      <c r="T31" s="161">
        <f t="shared" ca="1" si="15"/>
        <v>8139.319359299102</v>
      </c>
    </row>
    <row r="32" spans="1:20">
      <c r="A32" s="183"/>
      <c r="B32" s="161">
        <f t="shared" si="16"/>
        <v>17</v>
      </c>
      <c r="C32" s="167">
        <f t="shared" ca="1" si="3"/>
        <v>8.4836401231589281E-3</v>
      </c>
      <c r="D32" s="168">
        <f t="shared" ca="1" si="8"/>
        <v>0.91506849315068495</v>
      </c>
      <c r="E32" s="168">
        <f t="shared" ca="1" si="9"/>
        <v>8.4931506849315053E-2</v>
      </c>
      <c r="F32" s="167">
        <f t="shared" ca="1" si="10"/>
        <v>1.0088261196776679E-2</v>
      </c>
      <c r="G32" s="167">
        <f t="shared" ca="1" si="4"/>
        <v>0.69277934557798004</v>
      </c>
      <c r="H32" s="167">
        <f t="shared" ca="1" si="5"/>
        <v>0.69782347617636842</v>
      </c>
      <c r="I32" s="216">
        <f ca="1">Opbrengsten!F28</f>
        <v>1.5</v>
      </c>
      <c r="J32" s="161">
        <f t="shared" ca="1" si="11"/>
        <v>8014.056016860839</v>
      </c>
      <c r="L32" s="161">
        <f t="shared" si="17"/>
        <v>17</v>
      </c>
      <c r="M32" s="167">
        <f t="shared" ca="1" si="1"/>
        <v>8.4836401231589281E-3</v>
      </c>
      <c r="N32" s="168">
        <f t="shared" ca="1" si="12"/>
        <v>0.91506849315068495</v>
      </c>
      <c r="O32" s="168">
        <f t="shared" ca="1" si="13"/>
        <v>8.4931506849315053E-2</v>
      </c>
      <c r="P32" s="167">
        <f t="shared" ca="1" si="14"/>
        <v>1.0088261196776679E-2</v>
      </c>
      <c r="Q32" s="167">
        <f t="shared" ca="1" si="6"/>
        <v>0.69277934557798004</v>
      </c>
      <c r="R32" s="167">
        <f t="shared" ca="1" si="7"/>
        <v>0.69782347617636842</v>
      </c>
      <c r="S32" s="216">
        <f ca="1">Cycli!D26</f>
        <v>1.5</v>
      </c>
      <c r="T32" s="161">
        <f t="shared" ca="1" si="15"/>
        <v>8014.056016860839</v>
      </c>
    </row>
    <row r="33" spans="1:20">
      <c r="A33" s="183"/>
      <c r="B33" s="161">
        <f t="shared" si="16"/>
        <v>18</v>
      </c>
      <c r="C33" s="167">
        <f t="shared" ca="1" si="3"/>
        <v>6.594104564944474E-3</v>
      </c>
      <c r="D33" s="168">
        <f t="shared" ca="1" si="8"/>
        <v>0.91506849315068495</v>
      </c>
      <c r="E33" s="168">
        <f t="shared" ca="1" si="9"/>
        <v>8.4931506849315053E-2</v>
      </c>
      <c r="F33" s="167">
        <f t="shared" ca="1" si="10"/>
        <v>8.3231590209544137E-3</v>
      </c>
      <c r="G33" s="167">
        <f t="shared" ca="1" si="4"/>
        <v>0.68445618655702567</v>
      </c>
      <c r="H33" s="167">
        <f t="shared" ca="1" si="5"/>
        <v>0.6886177660675028</v>
      </c>
      <c r="I33" s="216">
        <f ca="1">Opbrengsten!F29</f>
        <v>1.5</v>
      </c>
      <c r="J33" s="161">
        <f t="shared" ca="1" si="11"/>
        <v>7908.3343279149858</v>
      </c>
      <c r="L33" s="161">
        <f t="shared" si="17"/>
        <v>18</v>
      </c>
      <c r="M33" s="167">
        <f t="shared" ca="1" si="1"/>
        <v>6.594104564944474E-3</v>
      </c>
      <c r="N33" s="168">
        <f t="shared" ca="1" si="12"/>
        <v>0.91506849315068495</v>
      </c>
      <c r="O33" s="168">
        <f t="shared" ca="1" si="13"/>
        <v>8.4931506849315053E-2</v>
      </c>
      <c r="P33" s="167">
        <f t="shared" ca="1" si="14"/>
        <v>8.3231590209544137E-3</v>
      </c>
      <c r="Q33" s="167">
        <f t="shared" ca="1" si="6"/>
        <v>0.68445618655702567</v>
      </c>
      <c r="R33" s="167">
        <f t="shared" ca="1" si="7"/>
        <v>0.6886177660675028</v>
      </c>
      <c r="S33" s="216">
        <f ca="1">Cycli!D27</f>
        <v>1.5</v>
      </c>
      <c r="T33" s="161">
        <f t="shared" ca="1" si="15"/>
        <v>7908.3343279149858</v>
      </c>
    </row>
    <row r="34" spans="1:20">
      <c r="A34" s="183"/>
      <c r="B34" s="161">
        <f t="shared" si="16"/>
        <v>19</v>
      </c>
      <c r="C34" s="167">
        <f t="shared" ca="1" si="3"/>
        <v>4.5580413906313221E-3</v>
      </c>
      <c r="D34" s="168">
        <f t="shared" ca="1" si="8"/>
        <v>0.91506849315068495</v>
      </c>
      <c r="E34" s="168">
        <f t="shared" ca="1" si="9"/>
        <v>8.4931506849315053E-2</v>
      </c>
      <c r="F34" s="167">
        <f t="shared" ca="1" si="10"/>
        <v>6.4211786515096583E-3</v>
      </c>
      <c r="G34" s="167">
        <f t="shared" ca="1" si="4"/>
        <v>0.67803500790551596</v>
      </c>
      <c r="H34" s="167">
        <f t="shared" ca="1" si="5"/>
        <v>0.68124559723127076</v>
      </c>
      <c r="I34" s="216">
        <f ca="1">Opbrengsten!F30</f>
        <v>1.5</v>
      </c>
      <c r="J34" s="161">
        <f t="shared" ca="1" si="11"/>
        <v>7823.6696870189171</v>
      </c>
      <c r="L34" s="161">
        <f t="shared" si="17"/>
        <v>19</v>
      </c>
      <c r="M34" s="167">
        <f t="shared" ca="1" si="1"/>
        <v>4.5580413906313221E-3</v>
      </c>
      <c r="N34" s="168">
        <f t="shared" ca="1" si="12"/>
        <v>0.91506849315068495</v>
      </c>
      <c r="O34" s="168">
        <f t="shared" ca="1" si="13"/>
        <v>8.4931506849315053E-2</v>
      </c>
      <c r="P34" s="167">
        <f t="shared" ca="1" si="14"/>
        <v>6.4211786515096583E-3</v>
      </c>
      <c r="Q34" s="167">
        <f t="shared" ca="1" si="6"/>
        <v>0.67803500790551596</v>
      </c>
      <c r="R34" s="167">
        <f t="shared" ca="1" si="7"/>
        <v>0.68124559723127076</v>
      </c>
      <c r="S34" s="216">
        <f ca="1">Cycli!D28</f>
        <v>1.5</v>
      </c>
      <c r="T34" s="161">
        <f t="shared" ca="1" si="15"/>
        <v>7823.6696870189171</v>
      </c>
    </row>
    <row r="35" spans="1:20">
      <c r="A35" s="183"/>
      <c r="B35" s="161">
        <f t="shared" si="16"/>
        <v>20</v>
      </c>
      <c r="C35" s="167">
        <f t="shared" ca="1" si="3"/>
        <v>2.3640878385152897E-3</v>
      </c>
      <c r="D35" s="168">
        <f t="shared" ca="1" si="8"/>
        <v>0.91506849315068495</v>
      </c>
      <c r="E35" s="168">
        <f t="shared" ca="1" si="9"/>
        <v>8.4931506849315053E-2</v>
      </c>
      <c r="F35" s="167">
        <f t="shared" ca="1" si="10"/>
        <v>4.3717056094927003E-3</v>
      </c>
      <c r="G35" s="167">
        <f t="shared" ca="1" si="4"/>
        <v>0.67366330229602323</v>
      </c>
      <c r="H35" s="167">
        <f t="shared" ca="1" si="5"/>
        <v>0.67584915510076959</v>
      </c>
      <c r="I35" s="216">
        <f ca="1">Opbrengsten!F31</f>
        <v>1.5</v>
      </c>
      <c r="J35" s="161">
        <f t="shared" ca="1" si="11"/>
        <v>7761.6950028730753</v>
      </c>
      <c r="L35" s="161">
        <f t="shared" si="17"/>
        <v>20</v>
      </c>
      <c r="M35" s="167">
        <f t="shared" ca="1" si="1"/>
        <v>2.3640878385152897E-3</v>
      </c>
      <c r="N35" s="168">
        <f t="shared" ca="1" si="12"/>
        <v>0.91506849315068495</v>
      </c>
      <c r="O35" s="168">
        <f t="shared" ca="1" si="13"/>
        <v>8.4931506849315053E-2</v>
      </c>
      <c r="P35" s="167">
        <f t="shared" ca="1" si="14"/>
        <v>4.3717056094927003E-3</v>
      </c>
      <c r="Q35" s="167">
        <f t="shared" ca="1" si="6"/>
        <v>0.67366330229602323</v>
      </c>
      <c r="R35" s="167">
        <f t="shared" ca="1" si="7"/>
        <v>0.67584915510076959</v>
      </c>
      <c r="S35" s="216">
        <f ca="1">Cycli!D29</f>
        <v>1.5</v>
      </c>
      <c r="T35" s="161">
        <f t="shared" ca="1" si="15"/>
        <v>7761.6950028730753</v>
      </c>
    </row>
    <row r="36" spans="1:20">
      <c r="A36" s="183"/>
      <c r="B36" s="161">
        <f t="shared" si="16"/>
        <v>21</v>
      </c>
      <c r="C36" s="167"/>
      <c r="D36" s="168">
        <f t="shared" ca="1" si="8"/>
        <v>0.91506849315068495</v>
      </c>
      <c r="E36" s="168"/>
      <c r="F36" s="167">
        <f t="shared" ref="F36" ca="1" si="18">((C35*D36)+(C36*E36))</f>
        <v>2.163302296066046E-3</v>
      </c>
      <c r="G36" s="167">
        <f t="shared" ca="1" si="4"/>
        <v>0.67149999999995713</v>
      </c>
      <c r="H36" s="167">
        <f t="shared" ca="1" si="5"/>
        <v>0.67258165114799018</v>
      </c>
      <c r="I36" s="216">
        <f ca="1">Opbrengsten!F32</f>
        <v>1.5</v>
      </c>
      <c r="J36" s="161">
        <f ca="1">H36*$F$10*I36*365*D36</f>
        <v>7068.144429954601</v>
      </c>
      <c r="L36" s="161">
        <f t="shared" si="17"/>
        <v>21</v>
      </c>
      <c r="M36" s="167"/>
      <c r="N36" s="168">
        <f t="shared" ca="1" si="12"/>
        <v>0.91506849315068495</v>
      </c>
      <c r="O36" s="168"/>
      <c r="P36" s="167">
        <f t="shared" ca="1" si="14"/>
        <v>2.163302296066046E-3</v>
      </c>
      <c r="Q36" s="167">
        <f t="shared" ca="1" si="6"/>
        <v>0.67149999999995713</v>
      </c>
      <c r="R36" s="167">
        <f t="shared" ca="1" si="7"/>
        <v>0.67258165114799018</v>
      </c>
      <c r="S36" s="216">
        <f ca="1">Cycli!D30</f>
        <v>1.5</v>
      </c>
      <c r="T36" s="161">
        <f ca="1">R36*$F$10*S35*365*N36</f>
        <v>7068.144429954601</v>
      </c>
    </row>
    <row r="38" spans="1:20">
      <c r="C38" s="167">
        <f ca="1">SUM(C16:C37)</f>
        <v>0.32850000000004281</v>
      </c>
      <c r="F38" s="167">
        <f ca="1">SUM(F16:F37)</f>
        <v>0.32850000000004281</v>
      </c>
      <c r="J38" s="161">
        <f ca="1">SUM(J16:J37)</f>
        <v>182934.38942692988</v>
      </c>
      <c r="M38" s="167">
        <f ca="1">SUM(M16:M37)</f>
        <v>0.32850000000004281</v>
      </c>
      <c r="P38" s="167">
        <f ca="1">SUM(P16:P37)</f>
        <v>0.32850000000004281</v>
      </c>
      <c r="T38" s="161">
        <f ca="1">SUM(T16:T37)</f>
        <v>182934.38942692988</v>
      </c>
    </row>
    <row r="40" spans="1:20">
      <c r="I40" s="165">
        <v>1</v>
      </c>
      <c r="J40" s="161">
        <f ca="1">J38/E10</f>
        <v>190556.65565305197</v>
      </c>
      <c r="S40" s="165">
        <v>1</v>
      </c>
      <c r="T40" s="161">
        <f ca="1">T38/E10</f>
        <v>190556.65565305197</v>
      </c>
    </row>
    <row r="44" spans="1:20">
      <c r="J44" s="167"/>
      <c r="T44" s="167"/>
    </row>
  </sheetData>
  <pageMargins left="0.7" right="0.7" top="0.75" bottom="0.75" header="0.3" footer="0.3"/>
  <pageSetup paperSize="9" scale="66"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8A9F4-32F1-4E32-8AF3-3536B4D36917}">
  <sheetPr>
    <pageSetUpPr fitToPage="1"/>
  </sheetPr>
  <dimension ref="A1:Q30"/>
  <sheetViews>
    <sheetView zoomScale="110" zoomScaleNormal="110" workbookViewId="0">
      <pane xSplit="2" ySplit="9" topLeftCell="C10" activePane="bottomRight" state="frozen"/>
      <selection activeCell="O90" sqref="O90:T90"/>
      <selection pane="topRight" activeCell="O90" sqref="O90:T90"/>
      <selection pane="bottomLeft" activeCell="O90" sqref="O90:T90"/>
      <selection pane="bottomRight" activeCell="O33" sqref="O33"/>
    </sheetView>
  </sheetViews>
  <sheetFormatPr baseColWidth="10" defaultColWidth="10.83203125" defaultRowHeight="16"/>
  <cols>
    <col min="1" max="1" width="11.83203125" style="11" customWidth="1"/>
    <col min="2" max="2" width="9.5" style="9" bestFit="1" customWidth="1"/>
    <col min="3" max="3" width="1" style="9" customWidth="1"/>
    <col min="4" max="17" width="11.83203125" style="9" customWidth="1"/>
    <col min="18" max="16384" width="10.83203125" style="9"/>
  </cols>
  <sheetData>
    <row r="1" spans="1:17">
      <c r="A1" s="8"/>
      <c r="D1" s="10"/>
      <c r="E1" s="11"/>
      <c r="F1" s="11"/>
    </row>
    <row r="2" spans="1:17">
      <c r="A2" s="9" t="s">
        <v>2</v>
      </c>
      <c r="D2" s="13">
        <f ca="1">Opbrengsten!C2</f>
        <v>45992</v>
      </c>
      <c r="E2" s="73"/>
      <c r="F2" s="73"/>
    </row>
    <row r="3" spans="1:17">
      <c r="A3" s="9" t="s">
        <v>3</v>
      </c>
      <c r="D3" s="13">
        <f ca="1">Opbrengsten!C3</f>
        <v>46022</v>
      </c>
      <c r="E3" s="11"/>
      <c r="F3" s="11"/>
    </row>
    <row r="4" spans="1:17">
      <c r="A4" s="9" t="s">
        <v>22</v>
      </c>
      <c r="D4" s="15">
        <f ca="1">Opbrengsten!C4</f>
        <v>31</v>
      </c>
      <c r="E4" s="15">
        <f ca="1">Opbrengsten!D4</f>
        <v>334</v>
      </c>
      <c r="F4" s="15"/>
    </row>
    <row r="5" spans="1:17">
      <c r="A5" s="9" t="s">
        <v>21</v>
      </c>
      <c r="D5" s="205">
        <f ca="1">Opbrengsten!C5</f>
        <v>8.4931506849315067E-2</v>
      </c>
      <c r="E5" s="205">
        <f ca="1">Opbrengsten!D5</f>
        <v>0.91506849315068495</v>
      </c>
      <c r="F5" s="205"/>
    </row>
    <row r="6" spans="1:17" ht="6" customHeight="1">
      <c r="A6" s="8"/>
    </row>
    <row r="7" spans="1:17" ht="16" customHeight="1"/>
    <row r="8" spans="1:17" ht="140.25" customHeight="1">
      <c r="A8" s="111" t="s">
        <v>1</v>
      </c>
      <c r="B8" s="112" t="s">
        <v>331</v>
      </c>
      <c r="D8" s="22" t="s">
        <v>409</v>
      </c>
      <c r="E8" s="22" t="s">
        <v>11</v>
      </c>
      <c r="F8" s="133" t="s">
        <v>5</v>
      </c>
      <c r="G8" s="22" t="s">
        <v>187</v>
      </c>
      <c r="H8" s="111" t="s">
        <v>12</v>
      </c>
      <c r="I8" s="114" t="s">
        <v>4</v>
      </c>
      <c r="J8" s="111" t="s">
        <v>48</v>
      </c>
      <c r="K8" s="111" t="s">
        <v>0</v>
      </c>
      <c r="L8" s="133" t="s">
        <v>157</v>
      </c>
      <c r="M8" s="115" t="s">
        <v>531</v>
      </c>
      <c r="N8" s="22" t="s">
        <v>530</v>
      </c>
      <c r="O8" s="115" t="s">
        <v>532</v>
      </c>
      <c r="P8" s="115" t="s">
        <v>533</v>
      </c>
      <c r="Q8" s="22" t="s">
        <v>534</v>
      </c>
    </row>
    <row r="9" spans="1:17" ht="7.5" customHeight="1">
      <c r="A9" s="8"/>
      <c r="B9" s="8"/>
      <c r="J9" s="10"/>
      <c r="K9" s="10"/>
      <c r="L9" s="10"/>
      <c r="M9" s="10"/>
      <c r="N9" s="10"/>
      <c r="O9" s="10"/>
      <c r="P9" s="10"/>
    </row>
    <row r="10" spans="1:17">
      <c r="A10" s="19">
        <v>1</v>
      </c>
      <c r="B10" s="19">
        <f ca="1">Jaargegevens!A14</f>
        <v>2025</v>
      </c>
      <c r="D10" s="204">
        <f ca="1">IF(Calculator!$R$118&gt;0,IF(B10&lt;Calculator!$R$118,Calculator!$U$114,Calculator!$U$116),Calculator!$U$114)</f>
        <v>1.5</v>
      </c>
      <c r="E10" s="20">
        <f ca="1">D10*365*D5</f>
        <v>46.5</v>
      </c>
      <c r="F10" s="28">
        <f ca="1">SUM($E$10:E10)</f>
        <v>46.5</v>
      </c>
      <c r="G10" s="25">
        <f>Calculator!$R$94</f>
        <v>0.96</v>
      </c>
      <c r="H10" s="169">
        <f ca="1">Degradatie!P16</f>
        <v>2.1635583788731758E-3</v>
      </c>
      <c r="I10" s="169">
        <f ca="1">SUM(H$8:H10)</f>
        <v>2.1635583788731758E-3</v>
      </c>
      <c r="J10" s="169">
        <f ca="1">(1+(1-I10))/2</f>
        <v>0.99891822081056336</v>
      </c>
      <c r="K10" s="26">
        <f ca="1">J10*Calculator!$R$92</f>
        <v>21.826363124710809</v>
      </c>
      <c r="L10" s="20">
        <f t="shared" ref="L10:L30" ca="1" si="0">K10*E10</f>
        <v>1014.9258852990527</v>
      </c>
      <c r="M10" s="28">
        <f ca="1">Calculator!$R$32*D5</f>
        <v>212.32876712328766</v>
      </c>
      <c r="N10" s="28">
        <f ca="1">L10-M10</f>
        <v>802.59711817576499</v>
      </c>
      <c r="O10" s="20">
        <f ca="1">Calculator!$R$30*D5</f>
        <v>297.26027397260276</v>
      </c>
      <c r="P10" s="20">
        <f ca="1">N10-O10</f>
        <v>505.33684420316223</v>
      </c>
      <c r="Q10" s="204">
        <f ca="1">IF(D10=Keuzemenu!$D$31,D10,IF(N10&lt;0,Keuzemenu!$D$31,IF(P10&lt;0,MIN(D10,Keuzemenu!$D$32),D10)))</f>
        <v>1.5</v>
      </c>
    </row>
    <row r="11" spans="1:17">
      <c r="A11" s="19">
        <v>2</v>
      </c>
      <c r="B11" s="19">
        <f ca="1">Jaargegevens!A15</f>
        <v>2026</v>
      </c>
      <c r="D11" s="204">
        <f ca="1">IF(Calculator!$R$118&gt;0,IF(B11&lt;Calculator!$R$118,Calculator!$U$114,Calculator!$U$116),Calculator!$U$114)</f>
        <v>1.5</v>
      </c>
      <c r="E11" s="20">
        <f t="shared" ref="E11:E29" ca="1" si="1">D11*365</f>
        <v>547.5</v>
      </c>
      <c r="F11" s="28">
        <f ca="1">SUM($E$10:E11)</f>
        <v>594</v>
      </c>
      <c r="G11" s="25">
        <f>Calculator!$R$94</f>
        <v>0.96</v>
      </c>
      <c r="H11" s="169">
        <f ca="1">Degradatie!P17</f>
        <v>2.5425576503282223E-2</v>
      </c>
      <c r="I11" s="169">
        <f ca="1">SUM(H$8:H11)</f>
        <v>2.7589134882155399E-2</v>
      </c>
      <c r="J11" s="169">
        <f t="shared" ref="J11:J30" ca="1" si="2">((1-I10)+(1-I11))/2</f>
        <v>0.98512365336948571</v>
      </c>
      <c r="K11" s="26">
        <f ca="1">J11*Calculator!$R$92</f>
        <v>21.524951826123264</v>
      </c>
      <c r="L11" s="20">
        <f t="shared" ca="1" si="0"/>
        <v>11784.911124802487</v>
      </c>
      <c r="M11" s="28">
        <f>Calculator!$R$32</f>
        <v>2500</v>
      </c>
      <c r="N11" s="28">
        <f t="shared" ref="N11:N30" ca="1" si="3">L11-M11</f>
        <v>9284.9111248024874</v>
      </c>
      <c r="O11" s="20">
        <f>Calculator!$R$30</f>
        <v>3500</v>
      </c>
      <c r="P11" s="20">
        <f t="shared" ref="P11:P30" ca="1" si="4">N11-O11</f>
        <v>5784.9111248024874</v>
      </c>
      <c r="Q11" s="204">
        <f ca="1">IF(D11=Keuzemenu!$D$31,D11,IF(N11&lt;0,Keuzemenu!$D$31,IF(P11&lt;0,MIN(D11,Keuzemenu!$D$32),D11)))</f>
        <v>1.5</v>
      </c>
    </row>
    <row r="12" spans="1:17">
      <c r="A12" s="19">
        <v>3</v>
      </c>
      <c r="B12" s="19">
        <f ca="1">Jaargegevens!A16</f>
        <v>2027</v>
      </c>
      <c r="D12" s="204">
        <f ca="1">IF(Calculator!$R$118&gt;0,IF(B12&lt;Calculator!$R$118,Calculator!$U$114,Calculator!$U$116),Calculator!$U$114)</f>
        <v>1.5</v>
      </c>
      <c r="E12" s="20">
        <f t="shared" ca="1" si="1"/>
        <v>547.5</v>
      </c>
      <c r="F12" s="28">
        <f ca="1">SUM($E$10:E12)</f>
        <v>1141.5</v>
      </c>
      <c r="G12" s="25">
        <f>Calculator!$R$94</f>
        <v>0.96</v>
      </c>
      <c r="H12" s="169">
        <f ca="1">Degradatie!P18</f>
        <v>2.4849835511718377E-2</v>
      </c>
      <c r="I12" s="169">
        <f ca="1">SUM(H$8:H12)</f>
        <v>5.2438970393873775E-2</v>
      </c>
      <c r="J12" s="169">
        <f t="shared" ca="1" si="2"/>
        <v>0.95998594736198539</v>
      </c>
      <c r="K12" s="26">
        <f ca="1">J12*Calculator!$R$92</f>
        <v>20.975692949859383</v>
      </c>
      <c r="L12" s="20">
        <f t="shared" ca="1" si="0"/>
        <v>11484.191890048012</v>
      </c>
      <c r="M12" s="28">
        <f>Calculator!$R$32</f>
        <v>2500</v>
      </c>
      <c r="N12" s="28">
        <f t="shared" ca="1" si="3"/>
        <v>8984.1918900480123</v>
      </c>
      <c r="O12" s="20">
        <f>Calculator!$R$30</f>
        <v>3500</v>
      </c>
      <c r="P12" s="20">
        <f t="shared" ca="1" si="4"/>
        <v>5484.1918900480123</v>
      </c>
      <c r="Q12" s="204">
        <f ca="1">IF(D12=Keuzemenu!$D$31,D12,IF(N12&lt;0,Keuzemenu!$D$31,IF(P12&lt;0,MIN(D12,Keuzemenu!$D$32),D12)))</f>
        <v>1.5</v>
      </c>
    </row>
    <row r="13" spans="1:17">
      <c r="A13" s="19">
        <v>4</v>
      </c>
      <c r="B13" s="19">
        <f ca="1">Jaargegevens!A17</f>
        <v>2028</v>
      </c>
      <c r="D13" s="204">
        <f ca="1">IF(Calculator!$R$118&gt;0,IF(B13&lt;Calculator!$R$118,Calculator!$U$114,Calculator!$U$116),Calculator!$U$114)</f>
        <v>1.5</v>
      </c>
      <c r="E13" s="20">
        <f t="shared" ca="1" si="1"/>
        <v>547.5</v>
      </c>
      <c r="F13" s="28">
        <f ca="1">SUM($E$10:E13)</f>
        <v>1689</v>
      </c>
      <c r="G13" s="25">
        <f>Calculator!$R$94</f>
        <v>0.96</v>
      </c>
      <c r="H13" s="169">
        <f ca="1">Degradatie!P19</f>
        <v>2.4229447593761746E-2</v>
      </c>
      <c r="I13" s="169">
        <f ca="1">SUM(H$8:H13)</f>
        <v>7.6668417987635518E-2</v>
      </c>
      <c r="J13" s="169">
        <f t="shared" ca="1" si="2"/>
        <v>0.93544630580924526</v>
      </c>
      <c r="K13" s="26">
        <f ca="1">J13*Calculator!$R$92</f>
        <v>20.439501781932009</v>
      </c>
      <c r="L13" s="20">
        <f t="shared" ca="1" si="0"/>
        <v>11190.627225607775</v>
      </c>
      <c r="M13" s="28">
        <f>Calculator!$R$32</f>
        <v>2500</v>
      </c>
      <c r="N13" s="28">
        <f t="shared" ca="1" si="3"/>
        <v>8690.6272256077755</v>
      </c>
      <c r="O13" s="20">
        <f>Calculator!$R$30</f>
        <v>3500</v>
      </c>
      <c r="P13" s="20">
        <f t="shared" ca="1" si="4"/>
        <v>5190.6272256077755</v>
      </c>
      <c r="Q13" s="204">
        <f ca="1">IF(D13=Keuzemenu!$D$31,D13,IF(N13&lt;0,Keuzemenu!$D$31,IF(P13&lt;0,MIN(D13,Keuzemenu!$D$32),D13)))</f>
        <v>1.5</v>
      </c>
    </row>
    <row r="14" spans="1:17">
      <c r="A14" s="19">
        <v>5</v>
      </c>
      <c r="B14" s="19">
        <f ca="1">Jaargegevens!A18</f>
        <v>2029</v>
      </c>
      <c r="D14" s="204">
        <f ca="1">IF(Calculator!$R$118&gt;0,IF(B14&lt;Calculator!$R$118,Calculator!$U$114,Calculator!$U$116),Calculator!$U$114)</f>
        <v>1.5</v>
      </c>
      <c r="E14" s="20">
        <f t="shared" ca="1" si="1"/>
        <v>547.5</v>
      </c>
      <c r="F14" s="28">
        <f ca="1">SUM($E$10:E14)</f>
        <v>2236.5</v>
      </c>
      <c r="G14" s="25">
        <f>Calculator!$R$94</f>
        <v>0.96</v>
      </c>
      <c r="H14" s="169">
        <f ca="1">Degradatie!P20</f>
        <v>2.3560950518885879E-2</v>
      </c>
      <c r="I14" s="169">
        <f ca="1">SUM(H$8:H14)</f>
        <v>0.10022936850652139</v>
      </c>
      <c r="J14" s="169">
        <f t="shared" ca="1" si="2"/>
        <v>0.9115511067529215</v>
      </c>
      <c r="K14" s="26">
        <f ca="1">J14*Calculator!$R$92</f>
        <v>19.917391682551337</v>
      </c>
      <c r="L14" s="20">
        <f t="shared" ca="1" si="0"/>
        <v>10904.771946196857</v>
      </c>
      <c r="M14" s="28">
        <f>Calculator!$R$32</f>
        <v>2500</v>
      </c>
      <c r="N14" s="28">
        <f t="shared" ca="1" si="3"/>
        <v>8404.7719461968572</v>
      </c>
      <c r="O14" s="20">
        <f>Calculator!$R$30</f>
        <v>3500</v>
      </c>
      <c r="P14" s="20">
        <f t="shared" ca="1" si="4"/>
        <v>4904.7719461968572</v>
      </c>
      <c r="Q14" s="204">
        <f ca="1">IF(D14=Keuzemenu!$D$31,D14,IF(N14&lt;0,Keuzemenu!$D$31,IF(P14&lt;0,MIN(D14,Keuzemenu!$D$32),D14)))</f>
        <v>1.5</v>
      </c>
    </row>
    <row r="15" spans="1:17">
      <c r="A15" s="19">
        <v>6</v>
      </c>
      <c r="B15" s="19">
        <f ca="1">Jaargegevens!A19</f>
        <v>2030</v>
      </c>
      <c r="D15" s="204">
        <f ca="1">IF(Calculator!$R$118&gt;0,IF(B15&lt;Calculator!$R$118,Calculator!$U$114,Calculator!$U$116),Calculator!$U$114)</f>
        <v>1.5</v>
      </c>
      <c r="E15" s="20">
        <f t="shared" ca="1" si="1"/>
        <v>547.5</v>
      </c>
      <c r="F15" s="28">
        <f ca="1">SUM($E$10:E15)</f>
        <v>2784</v>
      </c>
      <c r="G15" s="25">
        <f>Calculator!$R$94</f>
        <v>0.96</v>
      </c>
      <c r="H15" s="169">
        <f ca="1">Degradatie!P21</f>
        <v>2.2840613571336175E-2</v>
      </c>
      <c r="I15" s="169">
        <f ca="1">SUM(H$8:H15)</f>
        <v>0.12306998207785758</v>
      </c>
      <c r="J15" s="169">
        <f t="shared" ca="1" si="2"/>
        <v>0.8883503247078105</v>
      </c>
      <c r="K15" s="26">
        <f ca="1">J15*Calculator!$R$92</f>
        <v>19.410454594865662</v>
      </c>
      <c r="L15" s="20">
        <f t="shared" ca="1" si="0"/>
        <v>10627.223890688951</v>
      </c>
      <c r="M15" s="28">
        <f>Calculator!$R$32</f>
        <v>2500</v>
      </c>
      <c r="N15" s="28">
        <f t="shared" ca="1" si="3"/>
        <v>8127.2238906889506</v>
      </c>
      <c r="O15" s="20">
        <f>Calculator!$R$30</f>
        <v>3500</v>
      </c>
      <c r="P15" s="20">
        <f t="shared" ca="1" si="4"/>
        <v>4627.2238906889506</v>
      </c>
      <c r="Q15" s="204">
        <f ca="1">IF(D15=Keuzemenu!$D$31,D15,IF(N15&lt;0,Keuzemenu!$D$31,IF(P15&lt;0,MIN(D15,Keuzemenu!$D$32),D15)))</f>
        <v>1.5</v>
      </c>
    </row>
    <row r="16" spans="1:17">
      <c r="A16" s="19">
        <v>7</v>
      </c>
      <c r="B16" s="19">
        <f ca="1">Jaargegevens!A20</f>
        <v>2031</v>
      </c>
      <c r="D16" s="204">
        <f ca="1">IF(Calculator!$R$118&gt;0,IF(B16&lt;Calculator!$R$118,Calculator!$U$114,Calculator!$U$116),Calculator!$U$114)</f>
        <v>1.5</v>
      </c>
      <c r="E16" s="20">
        <f t="shared" ca="1" si="1"/>
        <v>547.5</v>
      </c>
      <c r="F16" s="28">
        <f ca="1">SUM($E$10:E16)</f>
        <v>3331.5</v>
      </c>
      <c r="G16" s="25">
        <f>Calculator!$R$94</f>
        <v>0.96</v>
      </c>
      <c r="H16" s="169">
        <f ca="1">Degradatie!P22</f>
        <v>2.2064416729934037E-2</v>
      </c>
      <c r="I16" s="169">
        <f ca="1">SUM(H$8:H16)</f>
        <v>0.14513439880779161</v>
      </c>
      <c r="J16" s="169">
        <f t="shared" ca="1" si="2"/>
        <v>0.86589780955717544</v>
      </c>
      <c r="K16" s="26">
        <f ca="1">J16*Calculator!$R$92</f>
        <v>18.919867138824284</v>
      </c>
      <c r="L16" s="20">
        <f t="shared" ca="1" si="0"/>
        <v>10358.627258506296</v>
      </c>
      <c r="M16" s="28">
        <f>Calculator!$R$32</f>
        <v>2500</v>
      </c>
      <c r="N16" s="28">
        <f t="shared" ca="1" si="3"/>
        <v>7858.6272585062961</v>
      </c>
      <c r="O16" s="20">
        <f>Calculator!$R$30</f>
        <v>3500</v>
      </c>
      <c r="P16" s="20">
        <f t="shared" ca="1" si="4"/>
        <v>4358.6272585062961</v>
      </c>
      <c r="Q16" s="204">
        <f ca="1">IF(D16=Keuzemenu!$D$31,D16,IF(N16&lt;0,Keuzemenu!$D$31,IF(P16&lt;0,MIN(D16,Keuzemenu!$D$32),D16)))</f>
        <v>1.5</v>
      </c>
    </row>
    <row r="17" spans="1:17">
      <c r="A17" s="19">
        <v>8</v>
      </c>
      <c r="B17" s="19">
        <f ca="1">Jaargegevens!A21</f>
        <v>2032</v>
      </c>
      <c r="D17" s="204">
        <f ca="1">IF(Calculator!$R$118&gt;0,IF(B17&lt;Calculator!$R$118,Calculator!$U$114,Calculator!$U$116),Calculator!$U$114)</f>
        <v>1.5</v>
      </c>
      <c r="E17" s="20">
        <f t="shared" ca="1" si="1"/>
        <v>547.5</v>
      </c>
      <c r="F17" s="28">
        <f ca="1">SUM($E$10:E17)</f>
        <v>3879</v>
      </c>
      <c r="G17" s="25">
        <f>Calculator!$R$94</f>
        <v>0.96</v>
      </c>
      <c r="H17" s="169">
        <f ca="1">Degradatie!P23</f>
        <v>2.122802823333941E-2</v>
      </c>
      <c r="I17" s="169">
        <f ca="1">SUM(H$8:H17)</f>
        <v>0.16636242704113102</v>
      </c>
      <c r="J17" s="169">
        <f t="shared" ca="1" si="2"/>
        <v>0.84425158707553871</v>
      </c>
      <c r="K17" s="26">
        <f ca="1">J17*Calculator!$R$92</f>
        <v>18.446897177600523</v>
      </c>
      <c r="L17" s="20">
        <f t="shared" ca="1" si="0"/>
        <v>10099.676204736286</v>
      </c>
      <c r="M17" s="28">
        <f>Calculator!$R$32</f>
        <v>2500</v>
      </c>
      <c r="N17" s="28">
        <f t="shared" ca="1" si="3"/>
        <v>7599.6762047362863</v>
      </c>
      <c r="O17" s="20">
        <f>Calculator!$R$30</f>
        <v>3500</v>
      </c>
      <c r="P17" s="20">
        <f t="shared" ca="1" si="4"/>
        <v>4099.6762047362863</v>
      </c>
      <c r="Q17" s="204">
        <f ca="1">IF(D17=Keuzemenu!$D$31,D17,IF(N17&lt;0,Keuzemenu!$D$31,IF(P17&lt;0,MIN(D17,Keuzemenu!$D$32),D17)))</f>
        <v>1.5</v>
      </c>
    </row>
    <row r="18" spans="1:17">
      <c r="A18" s="19">
        <v>9</v>
      </c>
      <c r="B18" s="19">
        <f ca="1">Jaargegevens!A22</f>
        <v>2033</v>
      </c>
      <c r="D18" s="204">
        <f ca="1">IF(Calculator!$R$118&gt;0,IF(B18&lt;Calculator!$R$118,Calculator!$U$114,Calculator!$U$116),Calculator!$U$114)</f>
        <v>1.5</v>
      </c>
      <c r="E18" s="20">
        <f t="shared" ca="1" si="1"/>
        <v>547.5</v>
      </c>
      <c r="F18" s="28">
        <f ca="1">SUM($E$10:E18)</f>
        <v>4426.5</v>
      </c>
      <c r="G18" s="25">
        <f>Calculator!$R$94</f>
        <v>0.96</v>
      </c>
      <c r="H18" s="169">
        <f ca="1">Degradatie!P24</f>
        <v>2.0326780405569133E-2</v>
      </c>
      <c r="I18" s="169">
        <f ca="1">SUM(H$8:H18)</f>
        <v>0.18668920744670014</v>
      </c>
      <c r="J18" s="169">
        <f t="shared" ca="1" si="2"/>
        <v>0.82347418275608442</v>
      </c>
      <c r="K18" s="26">
        <f ca="1">J18*Calculator!$R$92</f>
        <v>17.992910893220447</v>
      </c>
      <c r="L18" s="20">
        <f t="shared" ca="1" si="0"/>
        <v>9851.1187140381953</v>
      </c>
      <c r="M18" s="28">
        <f>Calculator!$R$32</f>
        <v>2500</v>
      </c>
      <c r="N18" s="28">
        <f t="shared" ca="1" si="3"/>
        <v>7351.1187140381953</v>
      </c>
      <c r="O18" s="20">
        <f>Calculator!$R$30</f>
        <v>3500</v>
      </c>
      <c r="P18" s="20">
        <f t="shared" ca="1" si="4"/>
        <v>3851.1187140381953</v>
      </c>
      <c r="Q18" s="204">
        <f ca="1">IF(D18=Keuzemenu!$D$31,D18,IF(N18&lt;0,Keuzemenu!$D$31,IF(P18&lt;0,MIN(D18,Keuzemenu!$D$32),D18)))</f>
        <v>1.5</v>
      </c>
    </row>
    <row r="19" spans="1:17">
      <c r="A19" s="19">
        <v>10</v>
      </c>
      <c r="B19" s="19">
        <f ca="1">Jaargegevens!A23</f>
        <v>2034</v>
      </c>
      <c r="D19" s="204">
        <f ca="1">IF(Calculator!$R$118&gt;0,IF(B19&lt;Calculator!$R$118,Calculator!$U$114,Calculator!$U$116),Calculator!$U$114)</f>
        <v>1.5</v>
      </c>
      <c r="E19" s="20">
        <f t="shared" ca="1" si="1"/>
        <v>547.5</v>
      </c>
      <c r="F19" s="28">
        <f ca="1">SUM($E$10:E19)</f>
        <v>4974</v>
      </c>
      <c r="G19" s="25">
        <f>Calculator!$R$94</f>
        <v>0.96</v>
      </c>
      <c r="H19" s="169">
        <f ca="1">Degradatie!P25</f>
        <v>1.9355643606859301E-2</v>
      </c>
      <c r="I19" s="169">
        <f ca="1">SUM(H$8:H19)</f>
        <v>0.20604485105355944</v>
      </c>
      <c r="J19" s="169">
        <f t="shared" ca="1" si="2"/>
        <v>0.80363297074987017</v>
      </c>
      <c r="K19" s="26">
        <f ca="1">J19*Calculator!$R$92</f>
        <v>17.559380410884664</v>
      </c>
      <c r="L19" s="20">
        <f t="shared" ca="1" si="0"/>
        <v>9613.7607749593535</v>
      </c>
      <c r="M19" s="28">
        <f>Calculator!$R$32</f>
        <v>2500</v>
      </c>
      <c r="N19" s="28">
        <f t="shared" ca="1" si="3"/>
        <v>7113.7607749593535</v>
      </c>
      <c r="O19" s="20">
        <f>Calculator!$R$30</f>
        <v>3500</v>
      </c>
      <c r="P19" s="20">
        <f t="shared" ca="1" si="4"/>
        <v>3613.7607749593535</v>
      </c>
      <c r="Q19" s="204">
        <f ca="1">IF(D19=Keuzemenu!$D$31,D19,IF(N19&lt;0,Keuzemenu!$D$31,IF(P19&lt;0,MIN(D19,Keuzemenu!$D$32),D19)))</f>
        <v>1.5</v>
      </c>
    </row>
    <row r="20" spans="1:17">
      <c r="A20" s="19">
        <v>11</v>
      </c>
      <c r="B20" s="19">
        <f ca="1">Jaargegevens!A24</f>
        <v>2035</v>
      </c>
      <c r="D20" s="204">
        <f ca="1">IF(Calculator!$R$118&gt;0,IF(B20&lt;Calculator!$R$118,Calculator!$U$114,Calculator!$U$116),Calculator!$U$114)</f>
        <v>1.5</v>
      </c>
      <c r="E20" s="20">
        <f t="shared" ca="1" si="1"/>
        <v>547.5</v>
      </c>
      <c r="F20" s="28">
        <f ca="1">SUM($E$10:E20)</f>
        <v>5521.5</v>
      </c>
      <c r="G20" s="25">
        <f>Calculator!$R$94</f>
        <v>0.96</v>
      </c>
      <c r="H20" s="169">
        <f ca="1">Degradatie!P26</f>
        <v>1.8309198164497831E-2</v>
      </c>
      <c r="I20" s="169">
        <f ca="1">SUM(H$8:H20)</f>
        <v>0.22435404921805727</v>
      </c>
      <c r="J20" s="169">
        <f t="shared" ca="1" si="2"/>
        <v>0.78480054986419168</v>
      </c>
      <c r="K20" s="26">
        <f ca="1">J20*Calculator!$R$92</f>
        <v>17.147892014532591</v>
      </c>
      <c r="L20" s="20">
        <f t="shared" ca="1" si="0"/>
        <v>9388.4708779565935</v>
      </c>
      <c r="M20" s="28">
        <f>Calculator!$R$32</f>
        <v>2500</v>
      </c>
      <c r="N20" s="28">
        <f t="shared" ca="1" si="3"/>
        <v>6888.4708779565935</v>
      </c>
      <c r="O20" s="20">
        <f>Calculator!$R$30</f>
        <v>3500</v>
      </c>
      <c r="P20" s="20">
        <f t="shared" ca="1" si="4"/>
        <v>3388.4708779565935</v>
      </c>
      <c r="Q20" s="204">
        <f ca="1">IF(D20=Keuzemenu!$D$31,D20,IF(N20&lt;0,Keuzemenu!$D$31,IF(P20&lt;0,MIN(D20,Keuzemenu!$D$32),D20)))</f>
        <v>1.5</v>
      </c>
    </row>
    <row r="21" spans="1:17">
      <c r="A21" s="19">
        <v>12</v>
      </c>
      <c r="B21" s="19">
        <f ca="1">Jaargegevens!A25</f>
        <v>2036</v>
      </c>
      <c r="D21" s="204">
        <f ca="1">IF(Calculator!$R$118&gt;0,IF(B21&lt;Calculator!$R$118,Calculator!$U$114,Calculator!$U$116),Calculator!$U$114)</f>
        <v>1.5</v>
      </c>
      <c r="E21" s="20">
        <f t="shared" ca="1" si="1"/>
        <v>547.5</v>
      </c>
      <c r="F21" s="28">
        <f ca="1">SUM($E$10:E21)</f>
        <v>6069</v>
      </c>
      <c r="G21" s="25">
        <f>Calculator!$R$94</f>
        <v>0.96</v>
      </c>
      <c r="H21" s="169">
        <f ca="1">Degradatie!P27</f>
        <v>1.718160412698028E-2</v>
      </c>
      <c r="I21" s="169">
        <f ca="1">SUM(H$8:H21)</f>
        <v>0.24153565334503754</v>
      </c>
      <c r="J21" s="169">
        <f t="shared" ca="1" si="2"/>
        <v>0.7670551487184526</v>
      </c>
      <c r="K21" s="26">
        <f ca="1">J21*Calculator!$R$92</f>
        <v>16.760154999498191</v>
      </c>
      <c r="L21" s="20">
        <f t="shared" ca="1" si="0"/>
        <v>9176.1848622252601</v>
      </c>
      <c r="M21" s="28">
        <f>Calculator!$R$32</f>
        <v>2500</v>
      </c>
      <c r="N21" s="28">
        <f t="shared" ca="1" si="3"/>
        <v>6676.1848622252601</v>
      </c>
      <c r="O21" s="20">
        <f>Calculator!$R$30</f>
        <v>3500</v>
      </c>
      <c r="P21" s="20">
        <f t="shared" ca="1" si="4"/>
        <v>3176.1848622252601</v>
      </c>
      <c r="Q21" s="204">
        <f ca="1">IF(D21=Keuzemenu!$D$31,D21,IF(N21&lt;0,Keuzemenu!$D$31,IF(P21&lt;0,MIN(D21,Keuzemenu!$D$32),D21)))</f>
        <v>1.5</v>
      </c>
    </row>
    <row r="22" spans="1:17">
      <c r="A22" s="19">
        <v>13</v>
      </c>
      <c r="B22" s="19">
        <f ca="1">Jaargegevens!A26</f>
        <v>2037</v>
      </c>
      <c r="D22" s="204">
        <f ca="1">IF(Calculator!$R$118&gt;0,IF(B22&lt;Calculator!$R$118,Calculator!$U$114,Calculator!$U$116),Calculator!$U$114)</f>
        <v>1.5</v>
      </c>
      <c r="E22" s="20">
        <f t="shared" ca="1" si="1"/>
        <v>547.5</v>
      </c>
      <c r="F22" s="28">
        <f ca="1">SUM($E$10:E22)</f>
        <v>6616.5</v>
      </c>
      <c r="G22" s="25">
        <f>Calculator!$R$94</f>
        <v>0.96</v>
      </c>
      <c r="H22" s="169">
        <f ca="1">Degradatie!P28</f>
        <v>1.5966568672694317E-2</v>
      </c>
      <c r="I22" s="169">
        <f ca="1">SUM(H$8:H22)</f>
        <v>0.25750222201773187</v>
      </c>
      <c r="J22" s="169">
        <f t="shared" ca="1" si="2"/>
        <v>0.75048106231861533</v>
      </c>
      <c r="K22" s="26">
        <f ca="1">J22*Calculator!$R$92</f>
        <v>16.398011211661746</v>
      </c>
      <c r="L22" s="20">
        <f t="shared" ca="1" si="0"/>
        <v>8977.9111383848067</v>
      </c>
      <c r="M22" s="28">
        <f>Calculator!$R$32</f>
        <v>2500</v>
      </c>
      <c r="N22" s="28">
        <f t="shared" ca="1" si="3"/>
        <v>6477.9111383848067</v>
      </c>
      <c r="O22" s="20">
        <f>Calculator!$R$30</f>
        <v>3500</v>
      </c>
      <c r="P22" s="20">
        <f t="shared" ca="1" si="4"/>
        <v>2977.9111383848067</v>
      </c>
      <c r="Q22" s="204">
        <f ca="1">IF(D22=Keuzemenu!$D$31,D22,IF(N22&lt;0,Keuzemenu!$D$31,IF(P22&lt;0,MIN(D22,Keuzemenu!$D$32),D22)))</f>
        <v>1.5</v>
      </c>
    </row>
    <row r="23" spans="1:17">
      <c r="A23" s="19">
        <v>14</v>
      </c>
      <c r="B23" s="19">
        <f ca="1">Jaargegevens!A27</f>
        <v>2038</v>
      </c>
      <c r="D23" s="204">
        <f ca="1">IF(Calculator!$R$118&gt;0,IF(B23&lt;Calculator!$R$118,Calculator!$U$114,Calculator!$U$116),Calculator!$U$114)</f>
        <v>1.5</v>
      </c>
      <c r="E23" s="20">
        <f t="shared" ca="1" si="1"/>
        <v>547.5</v>
      </c>
      <c r="F23" s="28">
        <f ca="1">SUM($E$10:E23)</f>
        <v>7164</v>
      </c>
      <c r="G23" s="25">
        <f>Calculator!$R$94</f>
        <v>0.96</v>
      </c>
      <c r="H23" s="169">
        <f ca="1">Degradatie!P29</f>
        <v>1.4657310991248913E-2</v>
      </c>
      <c r="I23" s="169">
        <f ca="1">SUM(H$8:H23)</f>
        <v>0.27215953300898077</v>
      </c>
      <c r="J23" s="169">
        <f t="shared" ca="1" si="2"/>
        <v>0.73516912248664368</v>
      </c>
      <c r="K23" s="26">
        <f ca="1">J23*Calculator!$R$92</f>
        <v>16.063445326333166</v>
      </c>
      <c r="L23" s="20">
        <f t="shared" ca="1" si="0"/>
        <v>8794.7363161674093</v>
      </c>
      <c r="M23" s="28">
        <f>Calculator!$R$32</f>
        <v>2500</v>
      </c>
      <c r="N23" s="28">
        <f t="shared" ca="1" si="3"/>
        <v>6294.7363161674093</v>
      </c>
      <c r="O23" s="20">
        <f>Calculator!$R$30</f>
        <v>3500</v>
      </c>
      <c r="P23" s="20">
        <f t="shared" ca="1" si="4"/>
        <v>2794.7363161674093</v>
      </c>
      <c r="Q23" s="204">
        <f ca="1">IF(D23=Keuzemenu!$D$31,D23,IF(N23&lt;0,Keuzemenu!$D$31,IF(P23&lt;0,MIN(D23,Keuzemenu!$D$32),D23)))</f>
        <v>1.5</v>
      </c>
    </row>
    <row r="24" spans="1:17">
      <c r="A24" s="19">
        <v>15</v>
      </c>
      <c r="B24" s="19">
        <f ca="1">Jaargegevens!A28</f>
        <v>2039</v>
      </c>
      <c r="D24" s="204">
        <f ca="1">IF(Calculator!$R$118&gt;0,IF(B24&lt;Calculator!$R$118,Calculator!$U$114,Calculator!$U$116),Calculator!$U$114)</f>
        <v>1.5</v>
      </c>
      <c r="E24" s="20">
        <f t="shared" ca="1" si="1"/>
        <v>547.5</v>
      </c>
      <c r="F24" s="28">
        <f ca="1">SUM($E$10:E24)</f>
        <v>7711.5</v>
      </c>
      <c r="G24" s="25">
        <f>Calculator!$R$94</f>
        <v>0.96</v>
      </c>
      <c r="H24" s="169">
        <f ca="1">Degradatie!P30</f>
        <v>1.3246524441459597E-2</v>
      </c>
      <c r="I24" s="169">
        <f ca="1">SUM(H$8:H24)</f>
        <v>0.28540605745044034</v>
      </c>
      <c r="J24" s="169">
        <f t="shared" ca="1" si="2"/>
        <v>0.72121720477028939</v>
      </c>
      <c r="K24" s="26">
        <f ca="1">J24*Calculator!$R$92</f>
        <v>15.758595924230825</v>
      </c>
      <c r="L24" s="20">
        <f t="shared" ca="1" si="0"/>
        <v>8627.8312685163764</v>
      </c>
      <c r="M24" s="28">
        <f>Calculator!$R$32</f>
        <v>2500</v>
      </c>
      <c r="N24" s="28">
        <f t="shared" ca="1" si="3"/>
        <v>6127.8312685163764</v>
      </c>
      <c r="O24" s="20">
        <f>Calculator!$R$30</f>
        <v>3500</v>
      </c>
      <c r="P24" s="20">
        <f t="shared" ca="1" si="4"/>
        <v>2627.8312685163764</v>
      </c>
      <c r="Q24" s="204">
        <f ca="1">IF(D24=Keuzemenu!$D$31,D24,IF(N24&lt;0,Keuzemenu!$D$31,IF(P24&lt;0,MIN(D24,Keuzemenu!$D$32),D24)))</f>
        <v>1.5</v>
      </c>
    </row>
    <row r="25" spans="1:17">
      <c r="A25" s="19">
        <v>16</v>
      </c>
      <c r="B25" s="19">
        <f ca="1">Jaargegevens!A29</f>
        <v>2040</v>
      </c>
      <c r="D25" s="204">
        <f ca="1">IF(Calculator!$R$118&gt;0,IF(B25&lt;Calculator!$R$118,Calculator!$U$114,Calculator!$U$116),Calculator!$U$114)</f>
        <v>1.5</v>
      </c>
      <c r="E25" s="20">
        <f t="shared" ca="1" si="1"/>
        <v>547.5</v>
      </c>
      <c r="F25" s="28">
        <f ca="1">SUM($E$10:E25)</f>
        <v>8259</v>
      </c>
      <c r="G25" s="25">
        <f>Calculator!$R$94</f>
        <v>0.96</v>
      </c>
      <c r="H25" s="169">
        <f ca="1">Degradatie!P31</f>
        <v>1.1726335774802954E-2</v>
      </c>
      <c r="I25" s="169">
        <f ca="1">SUM(H$8:H25)</f>
        <v>0.29713239322524332</v>
      </c>
      <c r="J25" s="169">
        <f t="shared" ca="1" si="2"/>
        <v>0.70873077466215817</v>
      </c>
      <c r="K25" s="26">
        <f ca="1">J25*Calculator!$R$92</f>
        <v>15.485767426368158</v>
      </c>
      <c r="L25" s="20">
        <f t="shared" ca="1" si="0"/>
        <v>8478.4576659365666</v>
      </c>
      <c r="M25" s="28">
        <f>Calculator!$R$32</f>
        <v>2500</v>
      </c>
      <c r="N25" s="28">
        <f t="shared" ca="1" si="3"/>
        <v>5978.4576659365666</v>
      </c>
      <c r="O25" s="20">
        <f>Calculator!$R$30</f>
        <v>3500</v>
      </c>
      <c r="P25" s="20">
        <f t="shared" ca="1" si="4"/>
        <v>2478.4576659365666</v>
      </c>
      <c r="Q25" s="204">
        <f ca="1">IF(D25=Keuzemenu!$D$31,D25,IF(N25&lt;0,Keuzemenu!$D$31,IF(P25&lt;0,MIN(D25,Keuzemenu!$D$32),D25)))</f>
        <v>1.5</v>
      </c>
    </row>
    <row r="26" spans="1:17">
      <c r="A26" s="19">
        <v>17</v>
      </c>
      <c r="B26" s="19">
        <f ca="1">Jaargegevens!A30</f>
        <v>2041</v>
      </c>
      <c r="D26" s="204">
        <f ca="1">IF(Calculator!$R$118&gt;0,IF(B26&lt;Calculator!$R$118,Calculator!$U$114,Calculator!$U$116),Calculator!$U$114)</f>
        <v>1.5</v>
      </c>
      <c r="E26" s="20">
        <f t="shared" ca="1" si="1"/>
        <v>547.5</v>
      </c>
      <c r="F26" s="28">
        <f ca="1">SUM($E$10:E26)</f>
        <v>8806.5</v>
      </c>
      <c r="G26" s="25">
        <f>Calculator!$R$94</f>
        <v>0.96</v>
      </c>
      <c r="H26" s="169">
        <f ca="1">Degradatie!P32</f>
        <v>1.0088261196776679E-2</v>
      </c>
      <c r="I26" s="169">
        <f ca="1">SUM(H$8:H26)</f>
        <v>0.30722065442202001</v>
      </c>
      <c r="J26" s="169">
        <f t="shared" ca="1" si="2"/>
        <v>0.69782347617636842</v>
      </c>
      <c r="K26" s="26">
        <f ca="1">J26*Calculator!$R$92</f>
        <v>15.247442954453652</v>
      </c>
      <c r="L26" s="20">
        <f t="shared" ca="1" si="0"/>
        <v>8347.9750175633744</v>
      </c>
      <c r="M26" s="28">
        <f>Calculator!$R$32</f>
        <v>2500</v>
      </c>
      <c r="N26" s="28">
        <f t="shared" ca="1" si="3"/>
        <v>5847.9750175633744</v>
      </c>
      <c r="O26" s="20">
        <f>Calculator!$R$30</f>
        <v>3500</v>
      </c>
      <c r="P26" s="20">
        <f t="shared" ca="1" si="4"/>
        <v>2347.9750175633744</v>
      </c>
      <c r="Q26" s="204">
        <f ca="1">IF(D26=Keuzemenu!$D$31,D26,IF(N26&lt;0,Keuzemenu!$D$31,IF(P26&lt;0,MIN(D26,Keuzemenu!$D$32),D26)))</f>
        <v>1.5</v>
      </c>
    </row>
    <row r="27" spans="1:17">
      <c r="A27" s="19">
        <v>18</v>
      </c>
      <c r="B27" s="19">
        <f ca="1">Jaargegevens!A31</f>
        <v>2042</v>
      </c>
      <c r="D27" s="204">
        <f ca="1">IF(Calculator!$R$118&gt;0,IF(B27&lt;Calculator!$R$118,Calculator!$U$114,Calculator!$U$116),Calculator!$U$114)</f>
        <v>1.5</v>
      </c>
      <c r="E27" s="20">
        <f t="shared" ca="1" si="1"/>
        <v>547.5</v>
      </c>
      <c r="F27" s="28">
        <f ca="1">SUM($E$10:E27)</f>
        <v>9354</v>
      </c>
      <c r="G27" s="25">
        <f>Calculator!$R$94</f>
        <v>0.96</v>
      </c>
      <c r="H27" s="169">
        <f ca="1">Degradatie!P33</f>
        <v>8.3231590209544137E-3</v>
      </c>
      <c r="I27" s="169">
        <f ca="1">SUM(H$8:H27)</f>
        <v>0.31554381344297444</v>
      </c>
      <c r="J27" s="169">
        <f t="shared" ca="1" si="2"/>
        <v>0.6886177660675028</v>
      </c>
      <c r="K27" s="26">
        <f ca="1">J27*Calculator!$R$92</f>
        <v>15.046298188574937</v>
      </c>
      <c r="L27" s="20">
        <f t="shared" ca="1" si="0"/>
        <v>8237.8482582447778</v>
      </c>
      <c r="M27" s="28">
        <f>Calculator!$R$32</f>
        <v>2500</v>
      </c>
      <c r="N27" s="28">
        <f t="shared" ca="1" si="3"/>
        <v>5737.8482582447778</v>
      </c>
      <c r="O27" s="20">
        <f>Calculator!$R$30</f>
        <v>3500</v>
      </c>
      <c r="P27" s="20">
        <f t="shared" ca="1" si="4"/>
        <v>2237.8482582447778</v>
      </c>
      <c r="Q27" s="204">
        <f ca="1">IF(D27=Keuzemenu!$D$31,D27,IF(N27&lt;0,Keuzemenu!$D$31,IF(P27&lt;0,MIN(D27,Keuzemenu!$D$32),D27)))</f>
        <v>1.5</v>
      </c>
    </row>
    <row r="28" spans="1:17">
      <c r="A28" s="19">
        <v>19</v>
      </c>
      <c r="B28" s="19">
        <f ca="1">Jaargegevens!A32</f>
        <v>2043</v>
      </c>
      <c r="D28" s="204">
        <f ca="1">IF(Calculator!$R$118&gt;0,IF(B28&lt;Calculator!$R$118,Calculator!$U$114,Calculator!$U$116),Calculator!$U$114)</f>
        <v>1.5</v>
      </c>
      <c r="E28" s="20">
        <f t="shared" ca="1" si="1"/>
        <v>547.5</v>
      </c>
      <c r="F28" s="28">
        <f ca="1">SUM($E$10:E28)</f>
        <v>9901.5</v>
      </c>
      <c r="G28" s="25">
        <f>Calculator!$R$94</f>
        <v>0.96</v>
      </c>
      <c r="H28" s="169">
        <f ca="1">Degradatie!P34</f>
        <v>6.4211786515096583E-3</v>
      </c>
      <c r="I28" s="169">
        <f ca="1">SUM(H$8:H28)</f>
        <v>0.32196499209448409</v>
      </c>
      <c r="J28" s="169">
        <f t="shared" ca="1" si="2"/>
        <v>0.68124559723127076</v>
      </c>
      <c r="K28" s="26">
        <f ca="1">J28*Calculator!$R$92</f>
        <v>14.885216299503266</v>
      </c>
      <c r="L28" s="20">
        <f t="shared" ca="1" si="0"/>
        <v>8149.6559239780381</v>
      </c>
      <c r="M28" s="28">
        <f>Calculator!$R$32</f>
        <v>2500</v>
      </c>
      <c r="N28" s="28">
        <f t="shared" ca="1" si="3"/>
        <v>5649.6559239780381</v>
      </c>
      <c r="O28" s="20">
        <f>Calculator!$R$30</f>
        <v>3500</v>
      </c>
      <c r="P28" s="20">
        <f t="shared" ca="1" si="4"/>
        <v>2149.6559239780381</v>
      </c>
      <c r="Q28" s="204">
        <f ca="1">IF(D28=Keuzemenu!$D$31,D28,IF(N28&lt;0,Keuzemenu!$D$31,IF(P28&lt;0,MIN(D28,Keuzemenu!$D$32),D28)))</f>
        <v>1.5</v>
      </c>
    </row>
    <row r="29" spans="1:17">
      <c r="A29" s="19">
        <v>20</v>
      </c>
      <c r="B29" s="19">
        <f ca="1">Jaargegevens!A33</f>
        <v>2044</v>
      </c>
      <c r="D29" s="204">
        <f ca="1">IF(Calculator!$R$118&gt;0,IF(B29&lt;Calculator!$R$118,Calculator!$U$114,Calculator!$U$116),Calculator!$U$114)</f>
        <v>1.5</v>
      </c>
      <c r="E29" s="20">
        <f t="shared" ca="1" si="1"/>
        <v>547.5</v>
      </c>
      <c r="F29" s="28">
        <f ca="1">SUM($E$10:E29)</f>
        <v>10449</v>
      </c>
      <c r="G29" s="25">
        <f>Calculator!$R$94</f>
        <v>0.96</v>
      </c>
      <c r="H29" s="169">
        <f ca="1">Degradatie!P35</f>
        <v>4.3717056094927003E-3</v>
      </c>
      <c r="I29" s="169">
        <f ca="1">SUM(H$8:H29)</f>
        <v>0.32633669770397677</v>
      </c>
      <c r="J29" s="169">
        <f t="shared" ca="1" si="2"/>
        <v>0.67584915510076959</v>
      </c>
      <c r="K29" s="26">
        <f ca="1">J29*Calculator!$R$92</f>
        <v>14.767304038951817</v>
      </c>
      <c r="L29" s="20">
        <f t="shared" ca="1" si="0"/>
        <v>8085.0989613261199</v>
      </c>
      <c r="M29" s="28">
        <f>Calculator!$R$32</f>
        <v>2500</v>
      </c>
      <c r="N29" s="28">
        <f t="shared" ca="1" si="3"/>
        <v>5585.0989613261199</v>
      </c>
      <c r="O29" s="20">
        <f>Calculator!$R$30</f>
        <v>3500</v>
      </c>
      <c r="P29" s="20">
        <f t="shared" ca="1" si="4"/>
        <v>2085.0989613261199</v>
      </c>
      <c r="Q29" s="204">
        <f ca="1">IF(D29=Keuzemenu!$D$31,D29,IF(N29&lt;0,Keuzemenu!$D$31,IF(P29&lt;0,MIN(D29,Keuzemenu!$D$32),D29)))</f>
        <v>1.5</v>
      </c>
    </row>
    <row r="30" spans="1:17">
      <c r="A30" s="19">
        <v>21</v>
      </c>
      <c r="B30" s="19">
        <f ca="1">Jaargegevens!A34</f>
        <v>2045</v>
      </c>
      <c r="D30" s="204">
        <f ca="1">IF(Calculator!$R$118&gt;0,IF(B30&lt;Calculator!$R$118,Calculator!$U$114,Calculator!$U$116),Calculator!$U$114)</f>
        <v>1.5</v>
      </c>
      <c r="E30" s="20">
        <f ca="1">D30*365*E5</f>
        <v>501</v>
      </c>
      <c r="F30" s="28">
        <f ca="1">SUM($E$10:E30)</f>
        <v>10950</v>
      </c>
      <c r="G30" s="25">
        <f>Calculator!$R$94</f>
        <v>0.96</v>
      </c>
      <c r="H30" s="169">
        <f ca="1">Degradatie!P36</f>
        <v>2.163302296066046E-3</v>
      </c>
      <c r="I30" s="169">
        <f ca="1">SUM(H$8:H30)</f>
        <v>0.32850000000004281</v>
      </c>
      <c r="J30" s="169">
        <f t="shared" ca="1" si="2"/>
        <v>0.67258165114799018</v>
      </c>
      <c r="K30" s="26">
        <f ca="1">J30*Calculator!$R$92</f>
        <v>14.695909077583586</v>
      </c>
      <c r="L30" s="20">
        <f t="shared" ca="1" si="0"/>
        <v>7362.6504478693769</v>
      </c>
      <c r="M30" s="28">
        <f ca="1">Calculator!$R$32*E5</f>
        <v>2287.6712328767126</v>
      </c>
      <c r="N30" s="28">
        <f t="shared" ca="1" si="3"/>
        <v>5074.9792149926643</v>
      </c>
      <c r="O30" s="20">
        <f ca="1">Calculator!$R$30*E5</f>
        <v>3202.7397260273974</v>
      </c>
      <c r="P30" s="20">
        <f t="shared" ca="1" si="4"/>
        <v>1872.2394889652669</v>
      </c>
      <c r="Q30" s="204">
        <f ca="1">IF(D30=Keuzemenu!$D$31,D30,IF(N30&lt;0,Keuzemenu!$D$31,IF(P30&lt;0,MIN(D30,Keuzemenu!$D$32),D30)))</f>
        <v>1.5</v>
      </c>
    </row>
  </sheetData>
  <printOptions headings="1"/>
  <pageMargins left="0.31496062992125984" right="0.31496062992125984" top="0.74803149606299213" bottom="0.74803149606299213" header="0.31496062992125984" footer="0.31496062992125984"/>
  <pageSetup paperSize="9" scale="66" fitToWidth="0" orientation="landscap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F36C3-9C10-4F4D-B5B1-D7321C322997}">
  <sheetPr>
    <pageSetUpPr fitToPage="1"/>
  </sheetPr>
  <dimension ref="A1:DN45"/>
  <sheetViews>
    <sheetView zoomScale="110" zoomScaleNormal="110" workbookViewId="0">
      <pane xSplit="2" ySplit="11" topLeftCell="CV12" activePane="bottomRight" state="frozen"/>
      <selection activeCell="O90" sqref="O90:T90"/>
      <selection pane="topRight" activeCell="O90" sqref="O90:T90"/>
      <selection pane="bottomLeft" activeCell="O90" sqref="O90:T90"/>
      <selection pane="bottomRight" activeCell="AD14" sqref="AD14"/>
    </sheetView>
  </sheetViews>
  <sheetFormatPr baseColWidth="10" defaultColWidth="10.83203125" defaultRowHeight="16"/>
  <cols>
    <col min="1" max="1" width="11.83203125" style="11" customWidth="1"/>
    <col min="2" max="2" width="9.5" style="9" bestFit="1" customWidth="1"/>
    <col min="3" max="3" width="11.83203125" style="10" customWidth="1"/>
    <col min="4" max="4" width="11.83203125" style="11" customWidth="1"/>
    <col min="5" max="5" width="1" style="9" customWidth="1"/>
    <col min="6" max="6" width="11.83203125" style="208" customWidth="1"/>
    <col min="7" max="9" width="11.83203125" style="10" customWidth="1"/>
    <col min="10" max="10" width="1" style="9" customWidth="1"/>
    <col min="11" max="13" width="11.83203125" style="11" customWidth="1"/>
    <col min="14" max="14" width="11.83203125" style="18" customWidth="1"/>
    <col min="15" max="15" width="1" style="9" customWidth="1"/>
    <col min="16" max="19" width="11.83203125" style="10" customWidth="1"/>
    <col min="20" max="20" width="1" style="9" customWidth="1"/>
    <col min="21" max="22" width="11.83203125" style="11" customWidth="1"/>
    <col min="23" max="23" width="1" style="9" customWidth="1"/>
    <col min="24" max="28" width="11.83203125" style="11" customWidth="1"/>
    <col min="29" max="29" width="0.83203125" style="9" customWidth="1"/>
    <col min="30" max="31" width="11.83203125" style="11" customWidth="1"/>
    <col min="32" max="32" width="11.5" style="11" customWidth="1"/>
    <col min="33" max="33" width="0.83203125" style="9" customWidth="1"/>
    <col min="34" max="35" width="11.83203125" style="11" customWidth="1"/>
    <col min="36" max="36" width="11.5" style="11" customWidth="1"/>
    <col min="37" max="37" width="1" style="9" customWidth="1"/>
    <col min="38" max="39" width="11.83203125" style="11" customWidth="1"/>
    <col min="40" max="40" width="11.5" style="11" customWidth="1"/>
    <col min="41" max="41" width="1" style="9" customWidth="1"/>
    <col min="42" max="44" width="11.83203125" style="10" customWidth="1"/>
    <col min="45" max="45" width="1" style="9" customWidth="1"/>
    <col min="46" max="49" width="11.83203125" style="10" customWidth="1"/>
    <col min="50" max="50" width="1" style="9" customWidth="1"/>
    <col min="51" max="54" width="11.83203125" style="10" customWidth="1"/>
    <col min="55" max="55" width="11.83203125" style="208" customWidth="1"/>
    <col min="56" max="56" width="11.83203125" style="10" customWidth="1"/>
    <col min="57" max="57" width="11.83203125" style="208" customWidth="1"/>
    <col min="58" max="58" width="0.83203125" style="9" customWidth="1"/>
    <col min="59" max="61" width="10.83203125" style="12"/>
    <col min="62" max="62" width="11.83203125" style="10" customWidth="1"/>
    <col min="63" max="63" width="0.83203125" style="9" customWidth="1"/>
    <col min="64" max="74" width="11.83203125" style="10" customWidth="1"/>
    <col min="75" max="75" width="1" style="9" customWidth="1"/>
    <col min="76" max="78" width="11.83203125" style="10" customWidth="1"/>
    <col min="79" max="83" width="11.83203125" style="11" customWidth="1"/>
    <col min="84" max="84" width="0.83203125" style="9" customWidth="1"/>
    <col min="85" max="95" width="10.83203125" style="9"/>
    <col min="96" max="96" width="14.1640625" style="9" bestFit="1" customWidth="1"/>
    <col min="97" max="97" width="10.83203125" style="9"/>
    <col min="98" max="98" width="12.1640625" style="9" bestFit="1" customWidth="1"/>
    <col min="99" max="104" width="10.83203125" style="9"/>
    <col min="105" max="105" width="14.1640625" style="9" bestFit="1" customWidth="1"/>
    <col min="106" max="107" width="10.83203125" style="9"/>
    <col min="108" max="108" width="14.1640625" style="9" bestFit="1" customWidth="1"/>
    <col min="109" max="110" width="10.83203125" style="9"/>
    <col min="111" max="112" width="14.1640625" style="9" bestFit="1" customWidth="1"/>
    <col min="113" max="113" width="10.83203125" style="9"/>
    <col min="114" max="117" width="11.83203125" style="11" customWidth="1"/>
    <col min="118" max="118" width="14.1640625" style="9" bestFit="1" customWidth="1"/>
    <col min="119" max="16384" width="10.83203125" style="9"/>
  </cols>
  <sheetData>
    <row r="1" spans="1:118">
      <c r="A1" s="8"/>
      <c r="K1" s="8"/>
      <c r="L1" s="8"/>
      <c r="M1" s="9"/>
      <c r="BP1" s="20">
        <f>IF(BH1-BE1-BI1&gt;0,BH1-BE1-BI1,0)</f>
        <v>0</v>
      </c>
    </row>
    <row r="2" spans="1:118">
      <c r="A2" s="9" t="s">
        <v>2</v>
      </c>
      <c r="C2" s="13">
        <f ca="1">Jaargegevens!E3</f>
        <v>45992</v>
      </c>
      <c r="D2" s="73"/>
      <c r="K2" s="13"/>
      <c r="L2" s="13"/>
      <c r="M2" s="9"/>
      <c r="AP2" s="14"/>
      <c r="BN2" s="95" t="s">
        <v>509</v>
      </c>
    </row>
    <row r="3" spans="1:118">
      <c r="A3" s="9" t="s">
        <v>3</v>
      </c>
      <c r="C3" s="73">
        <f ca="1">DATEVALUE(CONCATENATE("31/12/",YEAR(C2)))</f>
        <v>46022</v>
      </c>
      <c r="K3" s="13"/>
      <c r="L3" s="13"/>
      <c r="M3" s="9"/>
      <c r="AP3" s="14"/>
      <c r="DF3" s="12"/>
    </row>
    <row r="4" spans="1:118">
      <c r="A4" s="9" t="s">
        <v>22</v>
      </c>
      <c r="C4" s="15">
        <f ca="1">C3-C2+1</f>
        <v>31</v>
      </c>
      <c r="D4" s="152">
        <f ca="1">365-C4</f>
        <v>334</v>
      </c>
      <c r="K4" s="15"/>
      <c r="L4" s="15"/>
      <c r="M4" s="9"/>
    </row>
    <row r="5" spans="1:118">
      <c r="A5" s="9" t="s">
        <v>21</v>
      </c>
      <c r="C5" s="16">
        <f ca="1">C4/365</f>
        <v>8.4931506849315067E-2</v>
      </c>
      <c r="D5" s="153">
        <f ca="1">1-C5</f>
        <v>0.91506849315068495</v>
      </c>
      <c r="F5" s="490" t="s">
        <v>123</v>
      </c>
      <c r="G5" s="491"/>
      <c r="H5" s="491"/>
      <c r="I5" s="491"/>
      <c r="J5" s="491"/>
      <c r="K5" s="491"/>
      <c r="L5" s="491"/>
      <c r="M5" s="491"/>
      <c r="N5" s="491"/>
      <c r="O5" s="491"/>
      <c r="P5" s="491"/>
      <c r="Q5" s="491"/>
      <c r="R5" s="491"/>
      <c r="S5" s="492"/>
      <c r="U5" s="488" t="s">
        <v>204</v>
      </c>
      <c r="V5" s="488"/>
      <c r="X5" s="487" t="s">
        <v>206</v>
      </c>
      <c r="Y5" s="487"/>
      <c r="Z5" s="487"/>
      <c r="AA5" s="487"/>
      <c r="AB5" s="487"/>
      <c r="AC5" s="487"/>
      <c r="AD5" s="487"/>
      <c r="AE5" s="487"/>
      <c r="AF5" s="487"/>
      <c r="AG5" s="487"/>
      <c r="AH5" s="487"/>
      <c r="AI5" s="487"/>
      <c r="AJ5" s="487"/>
      <c r="AL5" s="9"/>
      <c r="AM5" s="9"/>
      <c r="AN5" s="9"/>
      <c r="AP5" s="497" t="s">
        <v>158</v>
      </c>
      <c r="AQ5" s="498"/>
      <c r="AR5" s="498"/>
      <c r="AS5" s="498"/>
      <c r="AT5" s="498"/>
      <c r="AU5" s="498"/>
      <c r="AV5" s="498"/>
      <c r="AW5" s="498"/>
      <c r="AX5" s="498"/>
      <c r="BG5" s="497" t="s">
        <v>160</v>
      </c>
      <c r="BH5" s="498"/>
      <c r="BI5" s="498"/>
      <c r="BJ5" s="498"/>
      <c r="BK5" s="498"/>
      <c r="BL5" s="498"/>
      <c r="BM5" s="498"/>
      <c r="BN5" s="498"/>
      <c r="BO5" s="498"/>
      <c r="BP5" s="498"/>
      <c r="BQ5" s="498"/>
      <c r="BR5" s="498"/>
      <c r="BS5" s="498"/>
      <c r="BT5" s="498"/>
      <c r="BU5" s="498"/>
      <c r="BV5" s="499"/>
      <c r="BW5" s="10"/>
    </row>
    <row r="6" spans="1:118" ht="6" customHeight="1">
      <c r="A6" s="8"/>
      <c r="C6" s="14"/>
      <c r="D6" s="10"/>
      <c r="K6" s="8"/>
      <c r="L6" s="8"/>
      <c r="U6" s="10"/>
      <c r="V6" s="17"/>
      <c r="X6" s="10"/>
      <c r="Y6" s="17"/>
      <c r="Z6" s="17"/>
      <c r="AA6" s="17"/>
      <c r="AB6" s="17"/>
      <c r="AD6" s="10"/>
      <c r="AE6" s="17"/>
      <c r="AF6" s="17"/>
      <c r="AH6" s="10"/>
      <c r="AI6" s="17"/>
      <c r="AJ6" s="17"/>
      <c r="AL6" s="10"/>
      <c r="AM6" s="17"/>
      <c r="AN6" s="17"/>
      <c r="AQ6" s="14"/>
      <c r="AR6" s="14"/>
      <c r="AT6" s="14"/>
      <c r="AW6" s="18"/>
      <c r="AY6" s="14"/>
      <c r="AZ6" s="14"/>
      <c r="BA6" s="14"/>
      <c r="BB6" s="14"/>
      <c r="BC6" s="213"/>
      <c r="BD6" s="14"/>
      <c r="BE6" s="213"/>
      <c r="BX6" s="14"/>
      <c r="BY6" s="14"/>
      <c r="BZ6" s="14"/>
      <c r="CA6" s="10"/>
      <c r="CB6" s="10"/>
      <c r="CC6" s="10"/>
      <c r="CD6" s="10"/>
      <c r="CE6" s="10"/>
      <c r="DJ6" s="10"/>
      <c r="DK6" s="10"/>
      <c r="DL6" s="10"/>
      <c r="DM6" s="10"/>
    </row>
    <row r="7" spans="1:118" ht="16" customHeight="1">
      <c r="C7" s="9"/>
      <c r="D7" s="10"/>
      <c r="F7" s="493" t="s">
        <v>15</v>
      </c>
      <c r="G7" s="494"/>
      <c r="H7" s="495"/>
      <c r="I7" s="41"/>
      <c r="K7" s="486" t="s">
        <v>16</v>
      </c>
      <c r="L7" s="486"/>
      <c r="M7" s="486"/>
      <c r="N7" s="486"/>
      <c r="P7" s="489" t="s">
        <v>0</v>
      </c>
      <c r="Q7" s="489"/>
      <c r="R7" s="489"/>
      <c r="S7" s="489"/>
      <c r="U7" s="486" t="s">
        <v>204</v>
      </c>
      <c r="V7" s="486"/>
      <c r="X7" s="486" t="s">
        <v>175</v>
      </c>
      <c r="Y7" s="486"/>
      <c r="Z7" s="486"/>
      <c r="AA7" s="486"/>
      <c r="AB7" s="486"/>
      <c r="AD7" s="489" t="s">
        <v>171</v>
      </c>
      <c r="AE7" s="489"/>
      <c r="AF7" s="489"/>
      <c r="AH7" s="489" t="s">
        <v>172</v>
      </c>
      <c r="AI7" s="489"/>
      <c r="AJ7" s="489"/>
      <c r="AL7" s="496" t="s">
        <v>557</v>
      </c>
      <c r="AM7" s="489"/>
      <c r="AN7" s="489"/>
      <c r="AP7" s="489" t="s">
        <v>6</v>
      </c>
      <c r="AQ7" s="489"/>
      <c r="AR7" s="489"/>
      <c r="AT7" s="489" t="s">
        <v>8</v>
      </c>
      <c r="AU7" s="489"/>
      <c r="AV7" s="489"/>
      <c r="AW7" s="489"/>
      <c r="AY7" s="500" t="s">
        <v>159</v>
      </c>
      <c r="AZ7" s="501"/>
      <c r="BA7" s="501"/>
      <c r="BB7" s="501"/>
      <c r="BC7" s="501"/>
      <c r="BD7" s="501"/>
      <c r="BE7" s="502"/>
      <c r="BG7" s="480" t="s">
        <v>44</v>
      </c>
      <c r="BH7" s="481"/>
      <c r="BI7" s="481"/>
      <c r="BJ7" s="482"/>
      <c r="BL7" s="483" t="s">
        <v>161</v>
      </c>
      <c r="BM7" s="484"/>
      <c r="BN7" s="484"/>
      <c r="BO7" s="484"/>
      <c r="BP7" s="484"/>
      <c r="BQ7" s="484"/>
      <c r="BR7" s="484"/>
      <c r="BS7" s="484"/>
      <c r="BT7" s="484"/>
      <c r="BU7" s="484"/>
      <c r="BV7" s="485"/>
      <c r="BX7" s="500" t="s">
        <v>77</v>
      </c>
      <c r="BY7" s="501"/>
      <c r="BZ7" s="501"/>
      <c r="CA7" s="501"/>
      <c r="CB7" s="501"/>
      <c r="CC7" s="501"/>
      <c r="CD7" s="501"/>
      <c r="CE7" s="502"/>
      <c r="CH7" s="478" t="s">
        <v>355</v>
      </c>
      <c r="CI7" s="478"/>
      <c r="CJ7" s="478"/>
      <c r="CK7" s="478"/>
      <c r="CL7" s="478"/>
      <c r="CM7" s="478"/>
      <c r="CN7" s="478"/>
      <c r="CP7" s="478" t="s">
        <v>390</v>
      </c>
      <c r="CQ7" s="478"/>
      <c r="CR7" s="478"/>
      <c r="CS7" s="478"/>
      <c r="CT7" s="478"/>
      <c r="CV7" s="479" t="s">
        <v>391</v>
      </c>
      <c r="CW7" s="478"/>
      <c r="CX7" s="478"/>
      <c r="CY7" s="478"/>
      <c r="CZ7" s="478"/>
      <c r="DA7" s="478"/>
      <c r="DB7" s="478"/>
      <c r="DC7" s="478"/>
      <c r="DD7" s="478"/>
      <c r="DE7" s="478"/>
      <c r="DF7" s="478"/>
      <c r="DG7" s="478"/>
      <c r="DH7" s="478"/>
      <c r="DJ7" s="478" t="s">
        <v>392</v>
      </c>
      <c r="DK7" s="478"/>
      <c r="DL7" s="478"/>
      <c r="DM7" s="9"/>
      <c r="DN7" s="202" t="s">
        <v>393</v>
      </c>
    </row>
    <row r="8" spans="1:118" s="121" customFormat="1" ht="102">
      <c r="A8" s="117" t="s">
        <v>330</v>
      </c>
      <c r="B8" s="118"/>
      <c r="C8" s="119" t="s">
        <v>223</v>
      </c>
      <c r="D8" s="120" t="s">
        <v>224</v>
      </c>
      <c r="F8" s="209" t="s">
        <v>409</v>
      </c>
      <c r="G8" s="184" t="s">
        <v>225</v>
      </c>
      <c r="H8" s="184"/>
      <c r="I8" s="119" t="s">
        <v>226</v>
      </c>
      <c r="K8" s="122" t="s">
        <v>226</v>
      </c>
      <c r="L8" s="122" t="s">
        <v>226</v>
      </c>
      <c r="M8" s="123" t="s">
        <v>227</v>
      </c>
      <c r="N8" s="124"/>
      <c r="P8" s="123" t="s">
        <v>228</v>
      </c>
      <c r="Q8" s="123" t="s">
        <v>229</v>
      </c>
      <c r="R8" s="119" t="s">
        <v>230</v>
      </c>
      <c r="S8" s="119"/>
      <c r="U8" s="120" t="s">
        <v>232</v>
      </c>
      <c r="V8" s="120" t="s">
        <v>233</v>
      </c>
      <c r="X8" s="120" t="s">
        <v>235</v>
      </c>
      <c r="Y8" s="120" t="s">
        <v>231</v>
      </c>
      <c r="Z8" s="120" t="s">
        <v>234</v>
      </c>
      <c r="AA8" s="120" t="s">
        <v>226</v>
      </c>
      <c r="AB8" s="120" t="s">
        <v>226</v>
      </c>
      <c r="AD8" s="120" t="s">
        <v>231</v>
      </c>
      <c r="AE8" s="120" t="s">
        <v>236</v>
      </c>
      <c r="AF8" s="120" t="s">
        <v>237</v>
      </c>
      <c r="AH8" s="120" t="s">
        <v>231</v>
      </c>
      <c r="AI8" s="120" t="s">
        <v>236</v>
      </c>
      <c r="AJ8" s="120" t="s">
        <v>238</v>
      </c>
      <c r="AL8" s="120" t="s">
        <v>231</v>
      </c>
      <c r="AM8" s="120" t="s">
        <v>236</v>
      </c>
      <c r="AN8" s="120" t="s">
        <v>238</v>
      </c>
      <c r="AP8" s="119" t="s">
        <v>226</v>
      </c>
      <c r="AQ8" s="119" t="s">
        <v>239</v>
      </c>
      <c r="AR8" s="119" t="s">
        <v>240</v>
      </c>
      <c r="AT8" s="125" t="s">
        <v>241</v>
      </c>
      <c r="AU8" s="119" t="s">
        <v>242</v>
      </c>
      <c r="AV8" s="119" t="s">
        <v>224</v>
      </c>
      <c r="AW8" s="119" t="s">
        <v>243</v>
      </c>
      <c r="AY8" s="119" t="s">
        <v>244</v>
      </c>
      <c r="AZ8" s="119" t="s">
        <v>226</v>
      </c>
      <c r="BA8" s="119" t="s">
        <v>245</v>
      </c>
      <c r="BB8" s="119" t="s">
        <v>245</v>
      </c>
      <c r="BC8" s="210" t="s">
        <v>245</v>
      </c>
      <c r="BD8" s="119" t="s">
        <v>246</v>
      </c>
      <c r="BE8" s="210" t="s">
        <v>247</v>
      </c>
      <c r="BG8" s="119" t="s">
        <v>248</v>
      </c>
      <c r="BH8" s="119" t="s">
        <v>249</v>
      </c>
      <c r="BI8" s="119" t="s">
        <v>250</v>
      </c>
      <c r="BJ8" s="119" t="s">
        <v>265</v>
      </c>
      <c r="BL8" s="119" t="s">
        <v>226</v>
      </c>
      <c r="BM8" s="119" t="s">
        <v>224</v>
      </c>
      <c r="BN8" s="119" t="s">
        <v>252</v>
      </c>
      <c r="BO8" s="119" t="s">
        <v>251</v>
      </c>
      <c r="BP8" s="119" t="s">
        <v>253</v>
      </c>
      <c r="BQ8" s="119" t="s">
        <v>254</v>
      </c>
      <c r="BR8" s="119" t="s">
        <v>255</v>
      </c>
      <c r="BS8" s="119" t="s">
        <v>256</v>
      </c>
      <c r="BT8" s="119" t="s">
        <v>257</v>
      </c>
      <c r="BU8" s="119" t="s">
        <v>224</v>
      </c>
      <c r="BV8" s="119" t="s">
        <v>258</v>
      </c>
      <c r="BX8" s="119" t="s">
        <v>259</v>
      </c>
      <c r="BY8" s="119" t="s">
        <v>260</v>
      </c>
      <c r="BZ8" s="119" t="s">
        <v>261</v>
      </c>
      <c r="CA8" s="119" t="s">
        <v>262</v>
      </c>
      <c r="CB8" s="119"/>
      <c r="CC8" s="119" t="s">
        <v>263</v>
      </c>
      <c r="CD8" s="120" t="s">
        <v>264</v>
      </c>
      <c r="CE8" s="120"/>
      <c r="CH8" s="126"/>
      <c r="CI8" s="126"/>
      <c r="CJ8" s="126"/>
      <c r="CK8" s="126"/>
      <c r="CL8" s="126"/>
      <c r="CM8" s="126"/>
      <c r="CN8" s="126"/>
      <c r="CO8" s="120"/>
      <c r="CP8" s="126"/>
      <c r="CQ8" s="126"/>
      <c r="CR8" s="126"/>
      <c r="CS8" s="126"/>
      <c r="CT8" s="126"/>
      <c r="CU8" s="126"/>
      <c r="CV8" s="126"/>
      <c r="CW8" s="126" t="s">
        <v>358</v>
      </c>
      <c r="CX8" s="126"/>
      <c r="CY8" s="126"/>
      <c r="CZ8" s="126"/>
      <c r="DA8" s="126"/>
      <c r="DB8" s="126"/>
      <c r="DC8" s="126"/>
      <c r="DD8" s="126"/>
      <c r="DF8" s="135" t="s">
        <v>378</v>
      </c>
      <c r="DG8" s="126"/>
      <c r="DH8" s="126"/>
      <c r="DJ8" s="119"/>
      <c r="DK8" s="119"/>
      <c r="DL8" s="119" t="s">
        <v>263</v>
      </c>
      <c r="DM8" s="119"/>
      <c r="DN8" s="126"/>
    </row>
    <row r="9" spans="1:118" s="121" customFormat="1" ht="51">
      <c r="A9" s="117" t="s">
        <v>333</v>
      </c>
      <c r="B9" s="118" t="s">
        <v>281</v>
      </c>
      <c r="C9" s="119"/>
      <c r="D9" s="120" t="s">
        <v>332</v>
      </c>
      <c r="F9" s="210"/>
      <c r="G9" s="119" t="s">
        <v>334</v>
      </c>
      <c r="H9" s="119"/>
      <c r="I9" s="119"/>
      <c r="K9" s="122"/>
      <c r="L9" s="122"/>
      <c r="M9" s="123"/>
      <c r="N9" s="124"/>
      <c r="P9" s="123" t="s">
        <v>335</v>
      </c>
      <c r="Q9" s="123"/>
      <c r="R9" s="119"/>
      <c r="S9" s="119"/>
      <c r="U9" s="120"/>
      <c r="V9" s="120" t="s">
        <v>332</v>
      </c>
      <c r="X9" s="120"/>
      <c r="Y9" s="120" t="s">
        <v>332</v>
      </c>
      <c r="Z9" s="120"/>
      <c r="AA9" s="120"/>
      <c r="AB9" s="120"/>
      <c r="AD9" s="120" t="s">
        <v>332</v>
      </c>
      <c r="AE9" s="120"/>
      <c r="AF9" s="120"/>
      <c r="AH9" s="120" t="s">
        <v>332</v>
      </c>
      <c r="AI9" s="120"/>
      <c r="AJ9" s="120"/>
      <c r="AL9" s="120" t="s">
        <v>332</v>
      </c>
      <c r="AM9" s="120"/>
      <c r="AN9" s="120"/>
      <c r="AP9" s="119"/>
      <c r="AQ9" s="119"/>
      <c r="AR9" s="119"/>
      <c r="AT9" s="125" t="s">
        <v>332</v>
      </c>
      <c r="AU9" s="119"/>
      <c r="AV9" s="119" t="s">
        <v>332</v>
      </c>
      <c r="AW9" s="119"/>
      <c r="AY9" s="119"/>
      <c r="AZ9" s="119"/>
      <c r="BA9" s="119" t="s">
        <v>336</v>
      </c>
      <c r="BB9" s="119" t="s">
        <v>336</v>
      </c>
      <c r="BC9" s="210" t="s">
        <v>336</v>
      </c>
      <c r="BD9" s="119"/>
      <c r="BE9" s="210"/>
      <c r="BG9" s="119" t="s">
        <v>337</v>
      </c>
      <c r="BH9" s="119"/>
      <c r="BI9" s="119"/>
      <c r="BJ9" s="119" t="s">
        <v>332</v>
      </c>
      <c r="BL9" s="119"/>
      <c r="BM9" s="119" t="s">
        <v>332</v>
      </c>
      <c r="BN9" s="119"/>
      <c r="BO9" s="119"/>
      <c r="BP9" s="125" t="s">
        <v>354</v>
      </c>
      <c r="BQ9" s="119"/>
      <c r="BR9" s="119"/>
      <c r="BS9" s="119" t="s">
        <v>332</v>
      </c>
      <c r="BT9" s="119"/>
      <c r="BU9" s="119" t="s">
        <v>332</v>
      </c>
      <c r="BV9" s="119"/>
      <c r="BX9" s="119"/>
      <c r="BY9" s="119" t="s">
        <v>338</v>
      </c>
      <c r="BZ9" s="125" t="s">
        <v>353</v>
      </c>
      <c r="CA9" s="119"/>
      <c r="CB9" s="119"/>
      <c r="CC9" s="119"/>
      <c r="CD9" s="120"/>
      <c r="CE9" s="120"/>
      <c r="CH9" s="126"/>
      <c r="CI9" s="126"/>
      <c r="CJ9" s="126"/>
      <c r="CK9" s="126"/>
      <c r="CL9" s="126"/>
      <c r="CM9" s="126"/>
      <c r="CN9" s="126"/>
      <c r="CO9" s="120"/>
      <c r="CP9" s="126" t="s">
        <v>359</v>
      </c>
      <c r="CQ9" s="126" t="s">
        <v>337</v>
      </c>
      <c r="CR9" s="135" t="s">
        <v>362</v>
      </c>
      <c r="CS9" s="126" t="s">
        <v>363</v>
      </c>
      <c r="CT9" s="126" t="s">
        <v>366</v>
      </c>
      <c r="CU9" s="126"/>
      <c r="CV9" s="126"/>
      <c r="CW9" s="126"/>
      <c r="CX9" s="126"/>
      <c r="CY9" s="126" t="s">
        <v>365</v>
      </c>
      <c r="CZ9" s="126" t="s">
        <v>369</v>
      </c>
      <c r="DA9" s="126" t="s">
        <v>370</v>
      </c>
      <c r="DB9" s="126" t="s">
        <v>372</v>
      </c>
      <c r="DC9" s="126" t="s">
        <v>374</v>
      </c>
      <c r="DD9" s="126" t="s">
        <v>370</v>
      </c>
      <c r="DE9" s="135" t="s">
        <v>376</v>
      </c>
      <c r="DF9" s="126" t="s">
        <v>379</v>
      </c>
      <c r="DG9" s="126" t="s">
        <v>380</v>
      </c>
      <c r="DH9" s="126" t="s">
        <v>383</v>
      </c>
      <c r="DJ9" s="119"/>
      <c r="DK9" s="119"/>
      <c r="DL9" s="119"/>
      <c r="DM9" s="119"/>
      <c r="DN9" s="126" t="s">
        <v>387</v>
      </c>
    </row>
    <row r="10" spans="1:118" ht="126" customHeight="1">
      <c r="A10" s="111" t="s">
        <v>1</v>
      </c>
      <c r="B10" s="112" t="s">
        <v>331</v>
      </c>
      <c r="C10" s="22" t="s">
        <v>10</v>
      </c>
      <c r="D10" s="42" t="s">
        <v>46</v>
      </c>
      <c r="F10" s="211" t="s">
        <v>409</v>
      </c>
      <c r="G10" s="22" t="s">
        <v>11</v>
      </c>
      <c r="H10" s="22" t="s">
        <v>5</v>
      </c>
      <c r="I10" s="22" t="s">
        <v>187</v>
      </c>
      <c r="K10" s="113" t="s">
        <v>10</v>
      </c>
      <c r="L10" s="113" t="s">
        <v>180</v>
      </c>
      <c r="M10" s="111" t="s">
        <v>12</v>
      </c>
      <c r="N10" s="114" t="s">
        <v>4</v>
      </c>
      <c r="P10" s="111" t="s">
        <v>48</v>
      </c>
      <c r="Q10" s="111" t="s">
        <v>0</v>
      </c>
      <c r="R10" s="22" t="s">
        <v>13</v>
      </c>
      <c r="S10" s="22" t="s">
        <v>14</v>
      </c>
      <c r="U10" s="42" t="s">
        <v>207</v>
      </c>
      <c r="V10" s="42" t="s">
        <v>208</v>
      </c>
      <c r="X10" s="42" t="s">
        <v>177</v>
      </c>
      <c r="Y10" s="42" t="s">
        <v>45</v>
      </c>
      <c r="Z10" s="42" t="s">
        <v>176</v>
      </c>
      <c r="AA10" s="42" t="s">
        <v>58</v>
      </c>
      <c r="AB10" s="132" t="s">
        <v>352</v>
      </c>
      <c r="AD10" s="42" t="s">
        <v>177</v>
      </c>
      <c r="AE10" s="42" t="s">
        <v>45</v>
      </c>
      <c r="AF10" s="42" t="s">
        <v>176</v>
      </c>
      <c r="AH10" s="42" t="s">
        <v>177</v>
      </c>
      <c r="AI10" s="42" t="s">
        <v>45</v>
      </c>
      <c r="AJ10" s="42" t="s">
        <v>176</v>
      </c>
      <c r="AL10" s="42" t="s">
        <v>177</v>
      </c>
      <c r="AM10" s="42" t="s">
        <v>45</v>
      </c>
      <c r="AN10" s="42" t="s">
        <v>176</v>
      </c>
      <c r="AP10" s="22" t="s">
        <v>40</v>
      </c>
      <c r="AQ10" s="22" t="s">
        <v>41</v>
      </c>
      <c r="AR10" s="22" t="s">
        <v>42</v>
      </c>
      <c r="AT10" s="115" t="s">
        <v>325</v>
      </c>
      <c r="AU10" s="22" t="s">
        <v>18</v>
      </c>
      <c r="AV10" s="22" t="s">
        <v>23</v>
      </c>
      <c r="AW10" s="22" t="s">
        <v>19</v>
      </c>
      <c r="AY10" s="22" t="s">
        <v>55</v>
      </c>
      <c r="AZ10" s="22" t="s">
        <v>37</v>
      </c>
      <c r="BA10" s="22" t="s">
        <v>43</v>
      </c>
      <c r="BB10" s="22" t="s">
        <v>38</v>
      </c>
      <c r="BC10" s="211" t="s">
        <v>44</v>
      </c>
      <c r="BD10" s="22" t="s">
        <v>42</v>
      </c>
      <c r="BE10" s="211" t="s">
        <v>56</v>
      </c>
      <c r="BG10" s="22" t="s">
        <v>173</v>
      </c>
      <c r="BH10" s="22" t="s">
        <v>157</v>
      </c>
      <c r="BI10" s="22" t="s">
        <v>174</v>
      </c>
      <c r="BJ10" s="22" t="s">
        <v>156</v>
      </c>
      <c r="BL10" s="22" t="s">
        <v>47</v>
      </c>
      <c r="BM10" s="22" t="s">
        <v>186</v>
      </c>
      <c r="BN10" s="22" t="s">
        <v>162</v>
      </c>
      <c r="BO10" s="22" t="s">
        <v>163</v>
      </c>
      <c r="BP10" s="22" t="s">
        <v>157</v>
      </c>
      <c r="BQ10" s="22" t="s">
        <v>179</v>
      </c>
      <c r="BR10" s="22" t="s">
        <v>166</v>
      </c>
      <c r="BS10" s="22" t="s">
        <v>156</v>
      </c>
      <c r="BT10" s="22" t="s">
        <v>165</v>
      </c>
      <c r="BU10" s="22" t="s">
        <v>164</v>
      </c>
      <c r="BV10" s="22" t="s">
        <v>178</v>
      </c>
      <c r="BX10" s="22" t="s">
        <v>202</v>
      </c>
      <c r="BY10" s="22" t="s">
        <v>82</v>
      </c>
      <c r="BZ10" s="22" t="s">
        <v>44</v>
      </c>
      <c r="CA10" s="22" t="s">
        <v>161</v>
      </c>
      <c r="CB10" s="133" t="s">
        <v>355</v>
      </c>
      <c r="CC10" s="22" t="s">
        <v>204</v>
      </c>
      <c r="CD10" s="42" t="s">
        <v>201</v>
      </c>
      <c r="CE10" s="42" t="s">
        <v>200</v>
      </c>
      <c r="CH10" s="116" t="s">
        <v>322</v>
      </c>
      <c r="CI10" s="116" t="s">
        <v>323</v>
      </c>
      <c r="CJ10" s="116" t="s">
        <v>324</v>
      </c>
      <c r="CK10" s="116" t="s">
        <v>310</v>
      </c>
      <c r="CL10" s="116" t="s">
        <v>311</v>
      </c>
      <c r="CM10" s="116" t="s">
        <v>312</v>
      </c>
      <c r="CN10" s="116" t="s">
        <v>313</v>
      </c>
      <c r="CO10" s="42"/>
      <c r="CP10" s="132" t="s">
        <v>386</v>
      </c>
      <c r="CQ10" s="116" t="s">
        <v>323</v>
      </c>
      <c r="CR10" s="116" t="s">
        <v>360</v>
      </c>
      <c r="CS10" s="116" t="s">
        <v>361</v>
      </c>
      <c r="CT10" s="116" t="s">
        <v>267</v>
      </c>
      <c r="CU10" s="116"/>
      <c r="CV10" s="116" t="s">
        <v>356</v>
      </c>
      <c r="CW10" s="116" t="s">
        <v>357</v>
      </c>
      <c r="CX10" s="134" t="s">
        <v>385</v>
      </c>
      <c r="CY10" s="134" t="s">
        <v>364</v>
      </c>
      <c r="CZ10" s="116" t="s">
        <v>367</v>
      </c>
      <c r="DA10" s="116" t="s">
        <v>368</v>
      </c>
      <c r="DB10" s="134" t="s">
        <v>371</v>
      </c>
      <c r="DC10" s="116" t="s">
        <v>373</v>
      </c>
      <c r="DD10" s="116" t="s">
        <v>368</v>
      </c>
      <c r="DE10" s="134" t="s">
        <v>375</v>
      </c>
      <c r="DF10" s="116" t="s">
        <v>377</v>
      </c>
      <c r="DG10" s="116" t="s">
        <v>381</v>
      </c>
      <c r="DH10" s="116" t="s">
        <v>382</v>
      </c>
      <c r="DJ10" s="133" t="s">
        <v>388</v>
      </c>
      <c r="DK10" s="133" t="s">
        <v>355</v>
      </c>
      <c r="DL10" s="22" t="s">
        <v>204</v>
      </c>
      <c r="DM10" s="22"/>
      <c r="DN10" s="116" t="s">
        <v>384</v>
      </c>
    </row>
    <row r="11" spans="1:118" ht="7" customHeight="1">
      <c r="A11" s="8"/>
      <c r="B11" s="8"/>
      <c r="C11" s="14"/>
      <c r="D11" s="10"/>
      <c r="K11" s="8"/>
      <c r="L11" s="8"/>
      <c r="U11" s="10"/>
      <c r="V11" s="17"/>
      <c r="X11" s="10"/>
      <c r="Y11" s="17"/>
      <c r="Z11" s="17"/>
      <c r="AA11" s="17"/>
      <c r="AB11" s="17"/>
      <c r="AD11" s="10"/>
      <c r="AE11" s="17"/>
      <c r="AF11" s="17"/>
      <c r="AH11" s="10"/>
      <c r="AI11" s="17"/>
      <c r="AJ11" s="17"/>
      <c r="AL11" s="10"/>
      <c r="AM11" s="17"/>
      <c r="AN11" s="17"/>
      <c r="AQ11" s="14"/>
      <c r="AR11" s="14"/>
      <c r="AT11" s="14"/>
      <c r="AW11" s="18"/>
      <c r="AY11" s="14"/>
      <c r="AZ11" s="14"/>
      <c r="BA11" s="14"/>
      <c r="BB11" s="14"/>
      <c r="BC11" s="213"/>
      <c r="BD11" s="14"/>
      <c r="BE11" s="213"/>
      <c r="BX11" s="14"/>
      <c r="BY11" s="14"/>
      <c r="BZ11" s="14"/>
      <c r="CA11" s="10"/>
      <c r="CB11" s="10"/>
      <c r="CC11" s="10"/>
      <c r="CD11" s="10"/>
      <c r="CE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J11" s="10"/>
      <c r="DK11" s="10"/>
      <c r="DL11" s="10"/>
      <c r="DM11" s="10"/>
      <c r="DN11" s="10"/>
    </row>
    <row r="12" spans="1:118">
      <c r="A12" s="19">
        <v>1</v>
      </c>
      <c r="B12" s="19">
        <f ca="1">Jaargegevens!A14</f>
        <v>2025</v>
      </c>
      <c r="C12" s="20" t="str">
        <f>IF(A12&gt;Calculator!$R$96,"Nee",IF(H11&lt;K12,"Ja","Nee"))</f>
        <v>Ja</v>
      </c>
      <c r="D12" s="23">
        <f ca="1">Jaargegevens!D14</f>
        <v>3.2000000000000001E-2</v>
      </c>
      <c r="F12" s="212">
        <f ca="1">Cycli!Q10</f>
        <v>1.5</v>
      </c>
      <c r="G12" s="20">
        <f ca="1">F12*365*C5</f>
        <v>46.5</v>
      </c>
      <c r="H12" s="20">
        <f ca="1">SUM(G$12:G12)</f>
        <v>46.5</v>
      </c>
      <c r="I12" s="25">
        <f>Calculator!$R$94</f>
        <v>0.96</v>
      </c>
      <c r="K12" s="24">
        <f>Calculator!R98</f>
        <v>10000</v>
      </c>
      <c r="L12" s="25">
        <f>Calculator!$R$100</f>
        <v>0.7</v>
      </c>
      <c r="M12" s="169">
        <f ca="1">Degradatie!$F16</f>
        <v>2.1635583788731758E-3</v>
      </c>
      <c r="N12" s="169">
        <f ca="1">SUM(M$10:M12)</f>
        <v>2.1635583788731758E-3</v>
      </c>
      <c r="O12" s="170"/>
      <c r="P12" s="169">
        <f ca="1">(1+(1-N12))/2</f>
        <v>0.99891822081056336</v>
      </c>
      <c r="Q12" s="26">
        <f ca="1">P12*Calculator!$R$92</f>
        <v>21.826363124710809</v>
      </c>
      <c r="R12" s="20">
        <f ca="1">Q12*G12</f>
        <v>1014.9258852990527</v>
      </c>
      <c r="S12" s="20">
        <f ca="1">SUM(R$12:R12)</f>
        <v>1014.9258852990527</v>
      </c>
      <c r="U12" s="27">
        <f ca="1">(12*Calculator!S45+12*Calculator!R73)*C5</f>
        <v>15.267287671232875</v>
      </c>
      <c r="V12" s="27">
        <f ca="1">IF(Calculator!$R$73&gt;0,(Jaargegevens!L14+Jaargegevens!M14)*12*C5,Jaargegevens!L14*12*C5)</f>
        <v>12.209753424657533</v>
      </c>
      <c r="X12" s="74">
        <f ca="1">Z12-Y12</f>
        <v>5.7139999999999996E-2</v>
      </c>
      <c r="Y12" s="74">
        <f ca="1">Jaargegevens!F14</f>
        <v>0.12286</v>
      </c>
      <c r="Z12" s="74">
        <f>Calculator!S47</f>
        <v>0.18</v>
      </c>
      <c r="AA12" s="74">
        <f>IF(Calculator!R25="Dynamisch",Opbrengsten!Z12,Calculator!S49)</f>
        <v>0.15</v>
      </c>
      <c r="AB12" s="74">
        <f>IF(Calculator!$R$25="Dynamisch",0,Calculator!S51)</f>
        <v>0.14000000000000001</v>
      </c>
      <c r="AC12" s="75"/>
      <c r="AD12" s="74">
        <f ca="1">Jaargegevens!O14+Jaargegevens!P14</f>
        <v>0.03</v>
      </c>
      <c r="AE12" s="74">
        <f ca="1">Y12</f>
        <v>0.12286</v>
      </c>
      <c r="AF12" s="74">
        <f ca="1">SUM(AD12:AE12)</f>
        <v>0.15286</v>
      </c>
      <c r="AG12" s="75"/>
      <c r="AH12" s="74">
        <f ca="1">Jaargegevens!R14</f>
        <v>0.15</v>
      </c>
      <c r="AI12" s="74">
        <f t="shared" ref="AI12:AI29" ca="1" si="0">Y12</f>
        <v>0.12286</v>
      </c>
      <c r="AJ12" s="74">
        <f ca="1">SUM(AH12:AI12)</f>
        <v>0.27285999999999999</v>
      </c>
      <c r="AL12" s="74">
        <f ca="1">(AD12+AH12)/2</f>
        <v>0.09</v>
      </c>
      <c r="AM12" s="74">
        <f ca="1">AE12</f>
        <v>0.12286</v>
      </c>
      <c r="AN12" s="74">
        <f ca="1">SUM(AL12:AM12)</f>
        <v>0.21285999999999999</v>
      </c>
      <c r="AP12" s="20">
        <f ca="1">Calculator!$R$38*C5</f>
        <v>382.1917808219178</v>
      </c>
      <c r="AQ12" s="20">
        <f ca="1">AW12</f>
        <v>0</v>
      </c>
      <c r="AR12" s="20">
        <f ca="1">SUM(AP12:AQ12)</f>
        <v>382.1917808219178</v>
      </c>
      <c r="AT12" s="20">
        <f ca="1">MIN(MAX(0,-Jaargegevens!U14),365)</f>
        <v>0</v>
      </c>
      <c r="AU12" s="20">
        <f ca="1">MAX(0,(Opbrengsten!AT12/365)*Calculator!$R$71)</f>
        <v>0</v>
      </c>
      <c r="AV12" s="26">
        <f ca="1">Jaargegevens!X14</f>
        <v>3.5</v>
      </c>
      <c r="AW12" s="20">
        <f ca="1">AV12*AU12</f>
        <v>0</v>
      </c>
      <c r="AY12" s="20">
        <f t="shared" ref="AY12:AY32" ca="1" si="1">AR12-BB12</f>
        <v>297.2602739726027</v>
      </c>
      <c r="AZ12" s="20">
        <f ca="1">Calculator!$R$34*C5</f>
        <v>297.26027397260276</v>
      </c>
      <c r="BA12" s="97">
        <f>Calculator!$V$36</f>
        <v>0.2857142857142857</v>
      </c>
      <c r="BB12" s="96">
        <f ca="1">Calculator!$R$36*C5</f>
        <v>84.93150684931507</v>
      </c>
      <c r="BC12" s="214">
        <f ca="1">MIN(Calculator!$R$32*C5,R12)</f>
        <v>212.32876712328766</v>
      </c>
      <c r="BD12" s="20">
        <f ca="1">AY12+BB12</f>
        <v>382.19178082191775</v>
      </c>
      <c r="BE12" s="214">
        <f ca="1">MIN(BD12-BB12,R12-BC12)</f>
        <v>297.2602739726027</v>
      </c>
      <c r="BG12" s="28">
        <f ca="1">BC12</f>
        <v>212.32876712328766</v>
      </c>
      <c r="BH12" s="28">
        <f t="shared" ref="BH12:BH32" ca="1" si="2">R12</f>
        <v>1014.9258852990527</v>
      </c>
      <c r="BI12" s="28">
        <f ca="1">MIN(BG12:BH12)</f>
        <v>212.32876712328766</v>
      </c>
      <c r="BJ12" s="74">
        <f ca="1">IF(B12&lt;=Jaargegevens!$M$7,Calculator!$S$49,AH12+Jaargegevens!S14+Jaargegevens!J14)</f>
        <v>0.15</v>
      </c>
      <c r="BL12" s="20" t="str">
        <f ca="1">IF(Calculator!$R$118&lt;=B12,Keuzemenu!$I$18,Keuzemenu!$I$17)</f>
        <v>Ja</v>
      </c>
      <c r="BM12" s="76">
        <f ca="1">Jaargegevens!AB14</f>
        <v>14</v>
      </c>
      <c r="BN12" s="26">
        <f ca="1">IF(Calculator!R$102/4&lt;Q12,Calculator!R$102*(BM12/60),Q12)</f>
        <v>2.3333333333333335</v>
      </c>
      <c r="BO12" s="20">
        <f ca="1">IF(BL12="Ja",365*24*4*BN12*C5,0)</f>
        <v>6944</v>
      </c>
      <c r="BP12" s="20">
        <f ca="1">MAX(0,BH12-BE12-BI12)</f>
        <v>505.33684420316229</v>
      </c>
      <c r="BQ12" s="20">
        <f ca="1">MAX(0,MIN(BO12:BP12))</f>
        <v>505.33684420316229</v>
      </c>
      <c r="BR12" s="77">
        <f t="shared" ref="BR12:BR32" ca="1" si="3">AF12</f>
        <v>0.15286</v>
      </c>
      <c r="BS12" s="74">
        <f ca="1">Jaargegevens!R14+Jaargegevens!AD14+Jaargegevens!J14</f>
        <v>0.47285999999999995</v>
      </c>
      <c r="BT12" s="74">
        <f ca="1">BS12-BR12</f>
        <v>0.31999999999999995</v>
      </c>
      <c r="BU12" s="29">
        <f ca="1">Jaargegevens!AF14</f>
        <v>0.85</v>
      </c>
      <c r="BV12" s="74">
        <f ca="1">BT12*BU12</f>
        <v>0.27199999999999996</v>
      </c>
      <c r="BW12" s="30"/>
      <c r="BX12" s="31">
        <f t="shared" ref="BX12:BX32" ca="1" si="4">-(((1-I12)*R12)*(BR12+BV12))</f>
        <v>-17.248056465126233</v>
      </c>
      <c r="BY12" s="31">
        <f ca="1">(BE12*(AJ12-AF12))</f>
        <v>35.671232876712324</v>
      </c>
      <c r="BZ12" s="31">
        <f ca="1">BC12*BJ12</f>
        <v>31.849315068493148</v>
      </c>
      <c r="CA12" s="32">
        <f ca="1">(BQ12*BV12)</f>
        <v>137.45162162326011</v>
      </c>
      <c r="CB12" s="32">
        <f ca="1">CN12</f>
        <v>0</v>
      </c>
      <c r="CC12" s="32">
        <f ca="1">(U12-V12)</f>
        <v>3.0575342465753419</v>
      </c>
      <c r="CD12" s="33">
        <f ca="1">ROUND(SUM(BX12:CC12),0)</f>
        <v>191</v>
      </c>
      <c r="CE12" s="33">
        <f ca="1">IF(CD12&lt;&gt;"",SUM(CD$12:CD12),"")</f>
        <v>191</v>
      </c>
      <c r="CH12" s="78">
        <f t="shared" ref="CH12:CH32" ca="1" si="5">R12</f>
        <v>1014.9258852990527</v>
      </c>
      <c r="CI12" s="78">
        <f ca="1">BC12</f>
        <v>212.32876712328766</v>
      </c>
      <c r="CJ12" s="78">
        <f ca="1">CH12-CI12</f>
        <v>802.59711817576499</v>
      </c>
      <c r="CK12" s="78">
        <f ca="1">Jaargegevens!G14</f>
        <v>10000</v>
      </c>
      <c r="CL12" s="78">
        <f ca="1">MAX(CJ12-CK12,0)</f>
        <v>0</v>
      </c>
      <c r="CM12" s="79">
        <f ca="1">Jaargegevens!F14-Jaargegevens!H14</f>
        <v>3.8919999999999996E-2</v>
      </c>
      <c r="CN12" s="33">
        <f ca="1">CL12*CM12</f>
        <v>0</v>
      </c>
      <c r="CO12" s="33"/>
      <c r="CP12" s="78">
        <f t="shared" ref="CP12:CP32" ca="1" si="6">R12</f>
        <v>1014.9258852990527</v>
      </c>
      <c r="CQ12" s="78">
        <f t="shared" ref="CQ12:CQ29" ca="1" si="7">BC12</f>
        <v>212.32876712328766</v>
      </c>
      <c r="CR12" s="78">
        <f t="shared" ref="CR12:CR29" ca="1" si="8">CP12-CQ12</f>
        <v>802.59711817576499</v>
      </c>
      <c r="CS12" s="79">
        <f t="shared" ref="CS12:CS32" ca="1" si="9">AF12</f>
        <v>0.15286</v>
      </c>
      <c r="CT12" s="33">
        <f ca="1">CR12*CS12</f>
        <v>122.68499548434744</v>
      </c>
      <c r="CU12" s="78"/>
      <c r="CV12" s="78">
        <f ca="1">CP12</f>
        <v>1014.9258852990527</v>
      </c>
      <c r="CW12" s="78">
        <f t="shared" ref="CW12:CW32" ca="1" si="10">(1-I12)*CV12</f>
        <v>40.597035411962139</v>
      </c>
      <c r="CX12" s="78">
        <f ca="1">CV12-CW12</f>
        <v>974.32884988709054</v>
      </c>
      <c r="CY12" s="78">
        <f t="shared" ref="CY12:CY29" ca="1" si="11">AY12</f>
        <v>297.2602739726027</v>
      </c>
      <c r="CZ12" s="79">
        <f t="shared" ref="CZ12:CZ32" ca="1" si="12">AJ12</f>
        <v>0.27285999999999999</v>
      </c>
      <c r="DA12" s="33">
        <f ca="1">CY12*CZ12</f>
        <v>81.110438356164366</v>
      </c>
      <c r="DB12" s="78">
        <f t="shared" ref="DB12:DB29" ca="1" si="13">CQ12</f>
        <v>212.32876712328766</v>
      </c>
      <c r="DC12" s="79">
        <f t="shared" ref="DC12:DC29" ca="1" si="14">BJ12</f>
        <v>0.15</v>
      </c>
      <c r="DD12" s="33">
        <f ca="1">DB12*DC12</f>
        <v>31.849315068493148</v>
      </c>
      <c r="DE12" s="78">
        <f ca="1">IF(CX12-CY12-DB12&gt;0,CX12-CY12-DB12,0)</f>
        <v>464.73980879120018</v>
      </c>
      <c r="DF12" s="79">
        <f t="shared" ref="DF12:DF29" ca="1" si="15">BR12+BV12</f>
        <v>0.42485999999999996</v>
      </c>
      <c r="DG12" s="33">
        <f ca="1">DE12*DF12</f>
        <v>197.44935516302928</v>
      </c>
      <c r="DH12" s="33">
        <f ca="1">DA12+DD12+DG12</f>
        <v>310.40910858768677</v>
      </c>
      <c r="DJ12" s="32">
        <f ca="1">DH12-CT12</f>
        <v>187.72411310333933</v>
      </c>
      <c r="DK12" s="32">
        <f ca="1">CB12</f>
        <v>0</v>
      </c>
      <c r="DL12" s="32">
        <f ca="1">CC12</f>
        <v>3.0575342465753419</v>
      </c>
      <c r="DM12" s="32"/>
      <c r="DN12" s="33">
        <f ca="1">SUM(DI12:DM12)</f>
        <v>190.78164734991466</v>
      </c>
    </row>
    <row r="13" spans="1:118">
      <c r="A13" s="19">
        <v>2</v>
      </c>
      <c r="B13" s="19">
        <f ca="1">Jaargegevens!A15</f>
        <v>2026</v>
      </c>
      <c r="C13" s="20" t="str">
        <f ca="1">IF(A13&gt;Calculator!$R$96,"Nee",IF(H12&lt;K13,"Ja","Nee"))</f>
        <v>Ja</v>
      </c>
      <c r="D13" s="23">
        <f ca="1">Jaargegevens!D15</f>
        <v>2.8000000000000001E-2</v>
      </c>
      <c r="F13" s="212">
        <f ca="1">Cycli!Q11</f>
        <v>1.5</v>
      </c>
      <c r="G13" s="20">
        <f ca="1">F13*365</f>
        <v>547.5</v>
      </c>
      <c r="H13" s="20">
        <f ca="1">SUM(G$12:G13)</f>
        <v>594</v>
      </c>
      <c r="I13" s="25">
        <f>Calculator!$R$94</f>
        <v>0.96</v>
      </c>
      <c r="K13" s="24">
        <f>K12</f>
        <v>10000</v>
      </c>
      <c r="L13" s="25">
        <f>Calculator!$R$100</f>
        <v>0.7</v>
      </c>
      <c r="M13" s="169">
        <f ca="1">Degradatie!F17</f>
        <v>2.5425576503282223E-2</v>
      </c>
      <c r="N13" s="169">
        <f ca="1">SUM(M$10:M13)</f>
        <v>2.7589134882155399E-2</v>
      </c>
      <c r="O13" s="170"/>
      <c r="P13" s="169">
        <f ca="1">((1-N12)+(1-N13))/2</f>
        <v>0.98512365336948571</v>
      </c>
      <c r="Q13" s="26">
        <f ca="1">P13*Calculator!$R$92</f>
        <v>21.524951826123264</v>
      </c>
      <c r="R13" s="20">
        <f t="shared" ref="R13:R29" ca="1" si="16">Q13*G13</f>
        <v>11784.911124802487</v>
      </c>
      <c r="S13" s="20">
        <f ca="1">SUM(R$12:R13)</f>
        <v>12799.837010101541</v>
      </c>
      <c r="U13" s="27">
        <f ca="1">(12*Calculator!S45+12*Calculator!R73)*(1+D12)</f>
        <v>185.51231999999999</v>
      </c>
      <c r="V13" s="27">
        <f ca="1">IF(Calculator!$R$73&gt;0,(Jaargegevens!L15+Jaargegevens!M15)*12,Jaargegevens!L15*12)</f>
        <v>148.36032</v>
      </c>
      <c r="X13" s="74">
        <f t="shared" ref="X13:X32" ca="1" si="17">X12*(1+$D12)</f>
        <v>5.8968479999999997E-2</v>
      </c>
      <c r="Y13" s="74">
        <f ca="1">Jaargegevens!F15</f>
        <v>0.11046</v>
      </c>
      <c r="Z13" s="74">
        <f t="shared" ref="Z13:Z29" ca="1" si="18">SUM(X13:Y13)</f>
        <v>0.16942847999999999</v>
      </c>
      <c r="AA13" s="74">
        <f ca="1">IF(Calculator!$R$25="Dynamisch",Opbrengsten!Z13,AA12*(1+D12))</f>
        <v>0.15479999999999999</v>
      </c>
      <c r="AB13" s="74">
        <f ca="1">IF(Calculator!$R$25="Dynamisch",0,AB12*(1+D12))</f>
        <v>0.14448000000000003</v>
      </c>
      <c r="AC13" s="75"/>
      <c r="AD13" s="74">
        <f ca="1">Jaargegevens!O15+Jaargegevens!P15</f>
        <v>3.032E-2</v>
      </c>
      <c r="AE13" s="74">
        <f t="shared" ref="AE13:AE29" ca="1" si="19">Y13</f>
        <v>0.11046</v>
      </c>
      <c r="AF13" s="74">
        <f t="shared" ref="AF13:AF29" ca="1" si="20">SUM(AD13:AE13)</f>
        <v>0.14078000000000002</v>
      </c>
      <c r="AG13" s="75"/>
      <c r="AH13" s="74">
        <f ca="1">Jaargegevens!R15</f>
        <v>0.15479999999999999</v>
      </c>
      <c r="AI13" s="74">
        <f t="shared" ca="1" si="0"/>
        <v>0.11046</v>
      </c>
      <c r="AJ13" s="74">
        <f t="shared" ref="AJ13:AJ29" ca="1" si="21">SUM(AH13:AI13)</f>
        <v>0.26526</v>
      </c>
      <c r="AL13" s="74">
        <f t="shared" ref="AL13:AL32" ca="1" si="22">(AD13+AH13)/2</f>
        <v>9.2560000000000003E-2</v>
      </c>
      <c r="AM13" s="74">
        <f t="shared" ref="AM13:AM32" ca="1" si="23">AE13</f>
        <v>0.11046</v>
      </c>
      <c r="AN13" s="74">
        <f t="shared" ref="AN13:AN32" ca="1" si="24">SUM(AL13:AM13)</f>
        <v>0.20302000000000001</v>
      </c>
      <c r="AP13" s="20">
        <f>Calculator!$R$38</f>
        <v>4500</v>
      </c>
      <c r="AQ13" s="20">
        <f t="shared" ref="AQ13:AQ32" ca="1" si="25">AW13</f>
        <v>0</v>
      </c>
      <c r="AR13" s="20">
        <f t="shared" ref="AR13:AR29" ca="1" si="26">SUM(AP13:AQ13)</f>
        <v>4500</v>
      </c>
      <c r="AT13" s="20">
        <f ca="1">MIN(MAX(0,-Jaargegevens!U15),365)</f>
        <v>0</v>
      </c>
      <c r="AU13" s="20">
        <f ca="1">MAX(0,(Opbrengsten!AT13/365)*Calculator!$R$71)</f>
        <v>0</v>
      </c>
      <c r="AV13" s="26">
        <f ca="1">Jaargegevens!X15</f>
        <v>3.5</v>
      </c>
      <c r="AW13" s="20">
        <f t="shared" ref="AW13:AW29" ca="1" si="27">AV13*AU13</f>
        <v>0</v>
      </c>
      <c r="AY13" s="20">
        <f t="shared" ca="1" si="1"/>
        <v>3500</v>
      </c>
      <c r="AZ13" s="20">
        <f>Calculator!$R$34</f>
        <v>3500</v>
      </c>
      <c r="BA13" s="97">
        <f>Calculator!$V$36</f>
        <v>0.2857142857142857</v>
      </c>
      <c r="BB13" s="96">
        <f>Calculator!$R$36</f>
        <v>1000</v>
      </c>
      <c r="BC13" s="214">
        <f ca="1">MIN(Calculator!$R$32,R13)</f>
        <v>2500</v>
      </c>
      <c r="BD13" s="20">
        <f t="shared" ref="BD13:BD29" ca="1" si="28">AY13+BB13</f>
        <v>4500</v>
      </c>
      <c r="BE13" s="214">
        <f t="shared" ref="BE13:BE32" ca="1" si="29">MIN(BD13-BB13,R13-BC13)</f>
        <v>3500</v>
      </c>
      <c r="BG13" s="28">
        <f t="shared" ref="BG13:BG29" ca="1" si="30">BC13</f>
        <v>2500</v>
      </c>
      <c r="BH13" s="28">
        <f t="shared" ca="1" si="2"/>
        <v>11784.911124802487</v>
      </c>
      <c r="BI13" s="28">
        <f t="shared" ref="BI13:BI29" ca="1" si="31">MIN(BG13:BH13)</f>
        <v>2500</v>
      </c>
      <c r="BJ13" s="74">
        <f ca="1">IF(B13&lt;=Jaargegevens!$M$7,Calculator!$S$49,AH13+Jaargegevens!S15+Jaargegevens!J15)</f>
        <v>0.15</v>
      </c>
      <c r="BL13" s="20" t="str">
        <f ca="1">IF(Calculator!$R$118&lt;=B13,Keuzemenu!$I$18,Keuzemenu!$I$17)</f>
        <v>Ja</v>
      </c>
      <c r="BM13" s="76">
        <f ca="1">Jaargegevens!AB15</f>
        <v>14</v>
      </c>
      <c r="BN13" s="26">
        <f ca="1">IF(Calculator!R$102/4&lt;Q13,Calculator!R$102*(BM13/60),Q13)</f>
        <v>2.3333333333333335</v>
      </c>
      <c r="BO13" s="20">
        <f t="shared" ref="BO13:BO29" ca="1" si="32">IF(BL13="Ja",365*24*4*BN13,0)</f>
        <v>81760</v>
      </c>
      <c r="BP13" s="20">
        <f t="shared" ref="BP13:BP29" ca="1" si="33">MAX(0,BH13-BE13-BI13)</f>
        <v>5784.9111248024874</v>
      </c>
      <c r="BQ13" s="20">
        <f t="shared" ref="BQ13:BQ29" ca="1" si="34">MAX(0,MIN(BO13:BP13))</f>
        <v>5784.9111248024874</v>
      </c>
      <c r="BR13" s="77">
        <f t="shared" ca="1" si="3"/>
        <v>0.14078000000000002</v>
      </c>
      <c r="BS13" s="74">
        <f ca="1">Jaargegevens!R15+Jaargegevens!AD15+Jaargegevens!J15</f>
        <v>0.46526000000000001</v>
      </c>
      <c r="BT13" s="74">
        <f t="shared" ref="BT13:BT29" ca="1" si="35">BS13-BR13</f>
        <v>0.32447999999999999</v>
      </c>
      <c r="BU13" s="29">
        <f ca="1">Jaargegevens!AF15</f>
        <v>0.85</v>
      </c>
      <c r="BV13" s="74">
        <f t="shared" ref="BV13:BV29" ca="1" si="36">BT13*BU13</f>
        <v>0.275808</v>
      </c>
      <c r="BW13" s="30"/>
      <c r="BX13" s="31">
        <f t="shared" ca="1" si="4"/>
        <v>-196.37810222636892</v>
      </c>
      <c r="BY13" s="31">
        <f t="shared" ref="BY13:BY32" ca="1" si="37">(BE13*(AJ13-AF13))</f>
        <v>435.67999999999995</v>
      </c>
      <c r="BZ13" s="31">
        <f t="shared" ref="BZ13:BZ29" ca="1" si="38">BC13*BJ13</f>
        <v>375</v>
      </c>
      <c r="CA13" s="32">
        <f t="shared" ref="CA13:CA29" ca="1" si="39">BQ13*BV13</f>
        <v>1595.5247675095245</v>
      </c>
      <c r="CB13" s="32">
        <f t="shared" ref="CB13:CB29" ca="1" si="40">CN13</f>
        <v>0</v>
      </c>
      <c r="CC13" s="32">
        <f t="shared" ref="CC13:CC32" ca="1" si="41">U13-V13</f>
        <v>37.151999999999987</v>
      </c>
      <c r="CD13" s="33">
        <f t="shared" ref="CD13:CD32" ca="1" si="42">ROUND(SUM(BX13:CC13),0)</f>
        <v>2247</v>
      </c>
      <c r="CE13" s="33">
        <f ca="1">IF(CD13&lt;&gt;"",SUM(CD$12:CD13),"")</f>
        <v>2438</v>
      </c>
      <c r="CH13" s="78">
        <f t="shared" ca="1" si="5"/>
        <v>11784.911124802487</v>
      </c>
      <c r="CI13" s="78">
        <f t="shared" ref="CI13:CI29" ca="1" si="43">BC13</f>
        <v>2500</v>
      </c>
      <c r="CJ13" s="78">
        <f t="shared" ref="CJ13:CJ29" ca="1" si="44">CH13-CI13</f>
        <v>9284.9111248024874</v>
      </c>
      <c r="CK13" s="78">
        <f ca="1">Jaargegevens!G15</f>
        <v>10000</v>
      </c>
      <c r="CL13" s="78">
        <f t="shared" ref="CL13:CL29" ca="1" si="45">MAX(CJ13-CK13,0)</f>
        <v>0</v>
      </c>
      <c r="CM13" s="79">
        <f ca="1">Jaargegevens!F15-Jaargegevens!H15</f>
        <v>2.6520000000000002E-2</v>
      </c>
      <c r="CN13" s="33">
        <f t="shared" ref="CN13:CN29" ca="1" si="46">CL13*CM13</f>
        <v>0</v>
      </c>
      <c r="CO13" s="33"/>
      <c r="CP13" s="78">
        <f t="shared" ca="1" si="6"/>
        <v>11784.911124802487</v>
      </c>
      <c r="CQ13" s="78">
        <f t="shared" ca="1" si="7"/>
        <v>2500</v>
      </c>
      <c r="CR13" s="78">
        <f t="shared" ca="1" si="8"/>
        <v>9284.9111248024874</v>
      </c>
      <c r="CS13" s="79">
        <f t="shared" ca="1" si="9"/>
        <v>0.14078000000000002</v>
      </c>
      <c r="CT13" s="33">
        <f t="shared" ref="CT13:CT29" ca="1" si="47">CR13*CS13</f>
        <v>1307.1297881496944</v>
      </c>
      <c r="CU13" s="78"/>
      <c r="CV13" s="78">
        <f t="shared" ref="CV13:CV29" ca="1" si="48">CP13</f>
        <v>11784.911124802487</v>
      </c>
      <c r="CW13" s="78">
        <f t="shared" ca="1" si="10"/>
        <v>471.39644499209993</v>
      </c>
      <c r="CX13" s="78">
        <f t="shared" ref="CX13:CX29" ca="1" si="49">CV13-CW13</f>
        <v>11313.514679810387</v>
      </c>
      <c r="CY13" s="78">
        <f t="shared" ca="1" si="11"/>
        <v>3500</v>
      </c>
      <c r="CZ13" s="79">
        <f t="shared" ca="1" si="12"/>
        <v>0.26526</v>
      </c>
      <c r="DA13" s="33">
        <f t="shared" ref="DA13:DA29" ca="1" si="50">CY13*CZ13</f>
        <v>928.41</v>
      </c>
      <c r="DB13" s="78">
        <f t="shared" ca="1" si="13"/>
        <v>2500</v>
      </c>
      <c r="DC13" s="79">
        <f t="shared" ca="1" si="14"/>
        <v>0.15</v>
      </c>
      <c r="DD13" s="33">
        <f t="shared" ref="DD13:DD29" ca="1" si="51">DB13*DC13</f>
        <v>375</v>
      </c>
      <c r="DE13" s="78">
        <f t="shared" ref="DE13:DE32" ca="1" si="52">IF(CX13-CY13-DB13&gt;0,CX13-CY13-DB13,0)</f>
        <v>5313.514679810387</v>
      </c>
      <c r="DF13" s="79">
        <f t="shared" ca="1" si="15"/>
        <v>0.41658800000000001</v>
      </c>
      <c r="DG13" s="33">
        <f t="shared" ref="DG13:DG29" ca="1" si="53">DE13*DF13</f>
        <v>2213.5464534328494</v>
      </c>
      <c r="DH13" s="33">
        <f t="shared" ref="DH13:DH29" ca="1" si="54">DA13+DD13+DG13</f>
        <v>3516.9564534328492</v>
      </c>
      <c r="DJ13" s="32">
        <f t="shared" ref="DJ13:DJ29" ca="1" si="55">DH13-CT13</f>
        <v>2209.8266652831549</v>
      </c>
      <c r="DK13" s="32">
        <f t="shared" ref="DK13:DK29" ca="1" si="56">CB13</f>
        <v>0</v>
      </c>
      <c r="DL13" s="32">
        <f t="shared" ref="DL13:DL29" ca="1" si="57">CC13</f>
        <v>37.151999999999987</v>
      </c>
      <c r="DM13" s="32"/>
      <c r="DN13" s="33">
        <f ca="1">ROUND(SUM(DI13:DM13),0)</f>
        <v>2247</v>
      </c>
    </row>
    <row r="14" spans="1:118">
      <c r="A14" s="19">
        <v>3</v>
      </c>
      <c r="B14" s="19">
        <f ca="1">Jaargegevens!A16</f>
        <v>2027</v>
      </c>
      <c r="C14" s="20" t="str">
        <f ca="1">IF(A14&gt;Calculator!$R$96,"Nee",IF(H13&lt;K14,"Ja","Nee"))</f>
        <v>Ja</v>
      </c>
      <c r="D14" s="23">
        <f ca="1">Jaargegevens!D16</f>
        <v>2.5000000000000001E-2</v>
      </c>
      <c r="F14" s="212">
        <f ca="1">Cycli!Q12</f>
        <v>1.5</v>
      </c>
      <c r="G14" s="20">
        <f t="shared" ref="G14:G31" ca="1" si="58">F14*365</f>
        <v>547.5</v>
      </c>
      <c r="H14" s="20">
        <f ca="1">SUM(G$12:G14)</f>
        <v>1141.5</v>
      </c>
      <c r="I14" s="25">
        <f>Calculator!$R$94</f>
        <v>0.96</v>
      </c>
      <c r="K14" s="24">
        <f t="shared" ref="K14:K32" si="59">K13</f>
        <v>10000</v>
      </c>
      <c r="L14" s="25">
        <f>Calculator!$R$100</f>
        <v>0.7</v>
      </c>
      <c r="M14" s="169">
        <f ca="1">Degradatie!F18</f>
        <v>2.4849835511718377E-2</v>
      </c>
      <c r="N14" s="169">
        <f ca="1">SUM(M$10:M14)</f>
        <v>5.2438970393873775E-2</v>
      </c>
      <c r="O14" s="170"/>
      <c r="P14" s="169">
        <f t="shared" ref="P14:P29" ca="1" si="60">((1-N13)+(1-N14))/2</f>
        <v>0.95998594736198539</v>
      </c>
      <c r="Q14" s="26">
        <f ca="1">P14*Calculator!$R$92</f>
        <v>20.975692949859383</v>
      </c>
      <c r="R14" s="20">
        <f t="shared" ca="1" si="16"/>
        <v>11484.191890048012</v>
      </c>
      <c r="S14" s="20">
        <f ca="1">SUM(R$12:R14)</f>
        <v>24284.028900149555</v>
      </c>
      <c r="U14" s="27">
        <f t="shared" ref="U14:U31" ca="1" si="61">U13*(1+D13)</f>
        <v>190.70666495999998</v>
      </c>
      <c r="V14" s="27">
        <f ca="1">IF(Calculator!$R$73&gt;0,(Jaargegevens!L16+Jaargegevens!M16)*12,Jaargegevens!L16*12)</f>
        <v>152.51440896000003</v>
      </c>
      <c r="X14" s="74">
        <f t="shared" ca="1" si="17"/>
        <v>6.0619597439999999E-2</v>
      </c>
      <c r="Y14" s="74">
        <f ca="1">Jaargegevens!F16</f>
        <v>0.11046</v>
      </c>
      <c r="Z14" s="74">
        <f t="shared" ca="1" si="18"/>
        <v>0.17107959744000001</v>
      </c>
      <c r="AA14" s="74">
        <f ca="1">IF(Calculator!$R$25="Dynamisch",Opbrengsten!Z14,AA13*(1+D13))</f>
        <v>0.15913440000000001</v>
      </c>
      <c r="AB14" s="74">
        <f ca="1">IF(Calculator!$R$25="Dynamisch",0,AB13*(1+D13))</f>
        <v>0.14852544000000004</v>
      </c>
      <c r="AC14" s="75"/>
      <c r="AD14" s="74">
        <f ca="1">Jaargegevens!O16+Jaargegevens!P16</f>
        <v>3.0608960000000001E-2</v>
      </c>
      <c r="AE14" s="74">
        <f t="shared" ca="1" si="19"/>
        <v>0.11046</v>
      </c>
      <c r="AF14" s="74">
        <f t="shared" ca="1" si="20"/>
        <v>0.14106895999999999</v>
      </c>
      <c r="AG14" s="75"/>
      <c r="AH14" s="74">
        <f ca="1">Jaargegevens!R16</f>
        <v>0.15913440000000001</v>
      </c>
      <c r="AI14" s="74">
        <f t="shared" ca="1" si="0"/>
        <v>0.11046</v>
      </c>
      <c r="AJ14" s="74">
        <f t="shared" ca="1" si="21"/>
        <v>0.26959440000000001</v>
      </c>
      <c r="AL14" s="74">
        <f t="shared" ca="1" si="22"/>
        <v>9.487168E-2</v>
      </c>
      <c r="AM14" s="74">
        <f t="shared" ca="1" si="23"/>
        <v>0.11046</v>
      </c>
      <c r="AN14" s="74">
        <f t="shared" ca="1" si="24"/>
        <v>0.20533168000000002</v>
      </c>
      <c r="AP14" s="20">
        <f>Calculator!$R$38</f>
        <v>4500</v>
      </c>
      <c r="AQ14" s="20">
        <f t="shared" ca="1" si="25"/>
        <v>0</v>
      </c>
      <c r="AR14" s="20">
        <f t="shared" ca="1" si="26"/>
        <v>4500</v>
      </c>
      <c r="AT14" s="20">
        <f ca="1">MIN(MAX(0,-Jaargegevens!U16),365)</f>
        <v>0</v>
      </c>
      <c r="AU14" s="20">
        <f ca="1">MAX(0,(Opbrengsten!AT14/365)*Calculator!$R$71)</f>
        <v>0</v>
      </c>
      <c r="AV14" s="26">
        <f ca="1">Jaargegevens!X16</f>
        <v>3.5</v>
      </c>
      <c r="AW14" s="20">
        <f t="shared" ca="1" si="27"/>
        <v>0</v>
      </c>
      <c r="AY14" s="20">
        <f t="shared" ca="1" si="1"/>
        <v>3500</v>
      </c>
      <c r="AZ14" s="20">
        <f>Calculator!$R$34</f>
        <v>3500</v>
      </c>
      <c r="BA14" s="97">
        <f>Calculator!$V$36</f>
        <v>0.2857142857142857</v>
      </c>
      <c r="BB14" s="96">
        <f>Calculator!$R$36</f>
        <v>1000</v>
      </c>
      <c r="BC14" s="214">
        <f ca="1">MIN(Calculator!$R$32,R14)</f>
        <v>2500</v>
      </c>
      <c r="BD14" s="20">
        <f t="shared" ca="1" si="28"/>
        <v>4500</v>
      </c>
      <c r="BE14" s="214">
        <f t="shared" ca="1" si="29"/>
        <v>3500</v>
      </c>
      <c r="BG14" s="28">
        <f t="shared" ca="1" si="30"/>
        <v>2500</v>
      </c>
      <c r="BH14" s="28">
        <f t="shared" ca="1" si="2"/>
        <v>11484.191890048012</v>
      </c>
      <c r="BI14" s="28">
        <f t="shared" ca="1" si="31"/>
        <v>2500</v>
      </c>
      <c r="BJ14" s="74">
        <f ca="1">IF(B14&lt;=Jaargegevens!$M$7,Calculator!$S$49,AH14+Jaargegevens!S16+Jaargegevens!J16)</f>
        <v>0.15913440000000001</v>
      </c>
      <c r="BL14" s="20" t="str">
        <f ca="1">IF(Calculator!$R$118&lt;=B14,Keuzemenu!$I$18,Keuzemenu!$I$17)</f>
        <v>Ja</v>
      </c>
      <c r="BM14" s="76">
        <f ca="1">Jaargegevens!AB16</f>
        <v>14</v>
      </c>
      <c r="BN14" s="26">
        <f ca="1">IF(Calculator!R$102/4&lt;Q14,Calculator!R$102*(BM14/60),Q14)</f>
        <v>2.3333333333333335</v>
      </c>
      <c r="BO14" s="20">
        <f t="shared" ca="1" si="32"/>
        <v>81760</v>
      </c>
      <c r="BP14" s="20">
        <f t="shared" ca="1" si="33"/>
        <v>5484.1918900480123</v>
      </c>
      <c r="BQ14" s="20">
        <f t="shared" ca="1" si="34"/>
        <v>5484.1918900480123</v>
      </c>
      <c r="BR14" s="77">
        <f t="shared" ca="1" si="3"/>
        <v>0.14106895999999999</v>
      </c>
      <c r="BS14" s="74">
        <f ca="1">Jaargegevens!R16+Jaargegevens!AD16+Jaargegevens!J16</f>
        <v>0.35913440000000002</v>
      </c>
      <c r="BT14" s="74">
        <f t="shared" ca="1" si="35"/>
        <v>0.21806544000000003</v>
      </c>
      <c r="BU14" s="29">
        <f ca="1">Jaargegevens!AF16</f>
        <v>0.85</v>
      </c>
      <c r="BV14" s="74">
        <f t="shared" ca="1" si="36"/>
        <v>0.18535562400000002</v>
      </c>
      <c r="BW14" s="30"/>
      <c r="BX14" s="31">
        <f t="shared" ca="1" si="4"/>
        <v>-149.94890241140399</v>
      </c>
      <c r="BY14" s="31">
        <f t="shared" ca="1" si="37"/>
        <v>449.83904000000007</v>
      </c>
      <c r="BZ14" s="31">
        <f t="shared" ca="1" si="38"/>
        <v>397.83600000000001</v>
      </c>
      <c r="CA14" s="32">
        <f t="shared" ca="1" si="39"/>
        <v>1016.5258099155889</v>
      </c>
      <c r="CB14" s="32">
        <f t="shared" ca="1" si="40"/>
        <v>0</v>
      </c>
      <c r="CC14" s="32">
        <f t="shared" ca="1" si="41"/>
        <v>38.192255999999958</v>
      </c>
      <c r="CD14" s="33">
        <f t="shared" ca="1" si="42"/>
        <v>1752</v>
      </c>
      <c r="CE14" s="33">
        <f ca="1">IF(CD14&lt;&gt;"",SUM(CD$12:CD14),"")</f>
        <v>4190</v>
      </c>
      <c r="CH14" s="78">
        <f t="shared" ca="1" si="5"/>
        <v>11484.191890048012</v>
      </c>
      <c r="CI14" s="78">
        <f t="shared" ca="1" si="43"/>
        <v>2500</v>
      </c>
      <c r="CJ14" s="78">
        <f t="shared" ca="1" si="44"/>
        <v>8984.1918900480123</v>
      </c>
      <c r="CK14" s="78">
        <f ca="1">Jaargegevens!G16</f>
        <v>10000</v>
      </c>
      <c r="CL14" s="78">
        <f t="shared" ca="1" si="45"/>
        <v>0</v>
      </c>
      <c r="CM14" s="79">
        <f ca="1">Jaargegevens!F16-Jaargegevens!H16</f>
        <v>2.6520000000000002E-2</v>
      </c>
      <c r="CN14" s="33">
        <f t="shared" ca="1" si="46"/>
        <v>0</v>
      </c>
      <c r="CO14" s="33"/>
      <c r="CP14" s="78">
        <f t="shared" ca="1" si="6"/>
        <v>11484.191890048012</v>
      </c>
      <c r="CQ14" s="78">
        <f t="shared" ca="1" si="7"/>
        <v>2500</v>
      </c>
      <c r="CR14" s="78">
        <f t="shared" ca="1" si="8"/>
        <v>8984.1918900480123</v>
      </c>
      <c r="CS14" s="79">
        <f t="shared" ca="1" si="9"/>
        <v>0.14106895999999999</v>
      </c>
      <c r="CT14" s="33">
        <f t="shared" ca="1" si="47"/>
        <v>1267.3906063695074</v>
      </c>
      <c r="CU14" s="78"/>
      <c r="CV14" s="78">
        <f t="shared" ca="1" si="48"/>
        <v>11484.191890048012</v>
      </c>
      <c r="CW14" s="78">
        <f t="shared" ca="1" si="10"/>
        <v>459.36767560192089</v>
      </c>
      <c r="CX14" s="78">
        <f t="shared" ca="1" si="49"/>
        <v>11024.824214446091</v>
      </c>
      <c r="CY14" s="78">
        <f t="shared" ca="1" si="11"/>
        <v>3500</v>
      </c>
      <c r="CZ14" s="79">
        <f t="shared" ca="1" si="12"/>
        <v>0.26959440000000001</v>
      </c>
      <c r="DA14" s="33">
        <f t="shared" ca="1" si="50"/>
        <v>943.58040000000005</v>
      </c>
      <c r="DB14" s="78">
        <f t="shared" ca="1" si="13"/>
        <v>2500</v>
      </c>
      <c r="DC14" s="79">
        <f t="shared" ca="1" si="14"/>
        <v>0.15913440000000001</v>
      </c>
      <c r="DD14" s="33">
        <f t="shared" ca="1" si="51"/>
        <v>397.83600000000001</v>
      </c>
      <c r="DE14" s="78">
        <f t="shared" ca="1" si="52"/>
        <v>5024.824214446091</v>
      </c>
      <c r="DF14" s="79">
        <f t="shared" ca="1" si="15"/>
        <v>0.32642458400000002</v>
      </c>
      <c r="DG14" s="33">
        <f t="shared" ca="1" si="53"/>
        <v>1640.2261538736921</v>
      </c>
      <c r="DH14" s="33">
        <f t="shared" ca="1" si="54"/>
        <v>2981.6425538736921</v>
      </c>
      <c r="DJ14" s="32">
        <f t="shared" ca="1" si="55"/>
        <v>1714.2519475041847</v>
      </c>
      <c r="DK14" s="32">
        <f t="shared" ca="1" si="56"/>
        <v>0</v>
      </c>
      <c r="DL14" s="32">
        <f t="shared" ca="1" si="57"/>
        <v>38.192255999999958</v>
      </c>
      <c r="DM14" s="32"/>
      <c r="DN14" s="33">
        <f t="shared" ref="DN14:DN32" ca="1" si="62">ROUND(SUM(DI14:DM14),0)</f>
        <v>1752</v>
      </c>
    </row>
    <row r="15" spans="1:118">
      <c r="A15" s="19">
        <v>4</v>
      </c>
      <c r="B15" s="19">
        <f ca="1">Jaargegevens!A17</f>
        <v>2028</v>
      </c>
      <c r="C15" s="20" t="str">
        <f ca="1">IF(A15&gt;Calculator!$R$96,"Nee",IF(H14&lt;K15,"Ja","Nee"))</f>
        <v>Ja</v>
      </c>
      <c r="D15" s="23">
        <f ca="1">Jaargegevens!D17</f>
        <v>2.5000000000000001E-2</v>
      </c>
      <c r="F15" s="212">
        <f ca="1">Cycli!Q13</f>
        <v>1.5</v>
      </c>
      <c r="G15" s="20">
        <f t="shared" ca="1" si="58"/>
        <v>547.5</v>
      </c>
      <c r="H15" s="20">
        <f ca="1">SUM(G$12:G15)</f>
        <v>1689</v>
      </c>
      <c r="I15" s="25">
        <f>Calculator!$R$94</f>
        <v>0.96</v>
      </c>
      <c r="K15" s="24">
        <f t="shared" si="59"/>
        <v>10000</v>
      </c>
      <c r="L15" s="25">
        <f>Calculator!$R$100</f>
        <v>0.7</v>
      </c>
      <c r="M15" s="169">
        <f ca="1">Degradatie!F19</f>
        <v>2.4229447593761746E-2</v>
      </c>
      <c r="N15" s="169">
        <f ca="1">SUM(M$10:M15)</f>
        <v>7.6668417987635518E-2</v>
      </c>
      <c r="O15" s="170"/>
      <c r="P15" s="169">
        <f t="shared" ca="1" si="60"/>
        <v>0.93544630580924526</v>
      </c>
      <c r="Q15" s="26">
        <f ca="1">P15*Calculator!$R$92</f>
        <v>20.439501781932009</v>
      </c>
      <c r="R15" s="20">
        <f t="shared" ca="1" si="16"/>
        <v>11190.627225607775</v>
      </c>
      <c r="S15" s="20">
        <f ca="1">SUM(R$12:R15)</f>
        <v>35474.656125757334</v>
      </c>
      <c r="U15" s="27">
        <f t="shared" ca="1" si="61"/>
        <v>195.47433158399997</v>
      </c>
      <c r="V15" s="27">
        <f ca="1">IF(Calculator!$R$73&gt;0,(Jaargegevens!L17+Jaargegevens!M17)*12,Jaargegevens!L17*12)</f>
        <v>156.32726918399999</v>
      </c>
      <c r="X15" s="74">
        <f t="shared" ca="1" si="17"/>
        <v>6.2135087375999994E-2</v>
      </c>
      <c r="Y15" s="74">
        <f ca="1">Jaargegevens!F17</f>
        <v>0.11046</v>
      </c>
      <c r="Z15" s="74">
        <f t="shared" ca="1" si="18"/>
        <v>0.17259508737599999</v>
      </c>
      <c r="AA15" s="74">
        <f ca="1">IF(Calculator!$R$25="Dynamisch",Opbrengsten!Z15,AA14*(1+D14))</f>
        <v>0.16311276</v>
      </c>
      <c r="AB15" s="74">
        <f ca="1">IF(Calculator!$R$25="Dynamisch",0,AB14*(1+D14))</f>
        <v>0.15223857600000001</v>
      </c>
      <c r="AC15" s="75"/>
      <c r="AD15" s="74">
        <f ca="1">Jaargegevens!O17+Jaargegevens!P17</f>
        <v>3.0874183999999999E-2</v>
      </c>
      <c r="AE15" s="74">
        <f t="shared" ca="1" si="19"/>
        <v>0.11046</v>
      </c>
      <c r="AF15" s="74">
        <f t="shared" ca="1" si="20"/>
        <v>0.141334184</v>
      </c>
      <c r="AG15" s="75"/>
      <c r="AH15" s="74">
        <f ca="1">Jaargegevens!R17</f>
        <v>0.16311276</v>
      </c>
      <c r="AI15" s="74">
        <f t="shared" ca="1" si="0"/>
        <v>0.11046</v>
      </c>
      <c r="AJ15" s="74">
        <f t="shared" ca="1" si="21"/>
        <v>0.27357275999999997</v>
      </c>
      <c r="AL15" s="74">
        <f t="shared" ca="1" si="22"/>
        <v>9.6993471999999997E-2</v>
      </c>
      <c r="AM15" s="74">
        <f t="shared" ca="1" si="23"/>
        <v>0.11046</v>
      </c>
      <c r="AN15" s="74">
        <f t="shared" ca="1" si="24"/>
        <v>0.207453472</v>
      </c>
      <c r="AP15" s="20">
        <f>Calculator!$R$38</f>
        <v>4500</v>
      </c>
      <c r="AQ15" s="20">
        <f t="shared" ca="1" si="25"/>
        <v>0</v>
      </c>
      <c r="AR15" s="20">
        <f t="shared" ca="1" si="26"/>
        <v>4500</v>
      </c>
      <c r="AT15" s="20">
        <f ca="1">MIN(MAX(0,-Jaargegevens!U17),365)</f>
        <v>0</v>
      </c>
      <c r="AU15" s="20">
        <f ca="1">MAX(0,(Opbrengsten!AT15/365)*Calculator!$R$71)</f>
        <v>0</v>
      </c>
      <c r="AV15" s="26">
        <f ca="1">Jaargegevens!X17</f>
        <v>3.5</v>
      </c>
      <c r="AW15" s="20">
        <f t="shared" ca="1" si="27"/>
        <v>0</v>
      </c>
      <c r="AY15" s="20">
        <f t="shared" ca="1" si="1"/>
        <v>3500</v>
      </c>
      <c r="AZ15" s="20">
        <f>Calculator!$R$34</f>
        <v>3500</v>
      </c>
      <c r="BA15" s="97">
        <f>Calculator!$V$36</f>
        <v>0.2857142857142857</v>
      </c>
      <c r="BB15" s="96">
        <f>Calculator!$R$36</f>
        <v>1000</v>
      </c>
      <c r="BC15" s="214">
        <f ca="1">MIN(Calculator!$R$32,R15)</f>
        <v>2500</v>
      </c>
      <c r="BD15" s="20">
        <f t="shared" ca="1" si="28"/>
        <v>4500</v>
      </c>
      <c r="BE15" s="214">
        <f t="shared" ca="1" si="29"/>
        <v>3500</v>
      </c>
      <c r="BG15" s="28">
        <f t="shared" ca="1" si="30"/>
        <v>2500</v>
      </c>
      <c r="BH15" s="28">
        <f t="shared" ca="1" si="2"/>
        <v>11190.627225607775</v>
      </c>
      <c r="BI15" s="28">
        <f t="shared" ca="1" si="31"/>
        <v>2500</v>
      </c>
      <c r="BJ15" s="74">
        <f ca="1">IF(B15&lt;=Jaargegevens!$M$7,Calculator!$S$49,AH15+Jaargegevens!S17+Jaargegevens!J17)</f>
        <v>0.16311276</v>
      </c>
      <c r="BL15" s="20" t="str">
        <f ca="1">IF(Calculator!$R$118&lt;=B15,Keuzemenu!$I$18,Keuzemenu!$I$17)</f>
        <v>Ja</v>
      </c>
      <c r="BM15" s="76">
        <f ca="1">Jaargegevens!AB17</f>
        <v>14</v>
      </c>
      <c r="BN15" s="26">
        <f ca="1">IF(Calculator!R$102/4&lt;Q15,Calculator!R$102*(BM15/60),Q15)</f>
        <v>2.3333333333333335</v>
      </c>
      <c r="BO15" s="20">
        <f t="shared" ca="1" si="32"/>
        <v>81760</v>
      </c>
      <c r="BP15" s="20">
        <f t="shared" ca="1" si="33"/>
        <v>5190.6272256077755</v>
      </c>
      <c r="BQ15" s="20">
        <f t="shared" ca="1" si="34"/>
        <v>5190.6272256077755</v>
      </c>
      <c r="BR15" s="77">
        <f t="shared" ca="1" si="3"/>
        <v>0.141334184</v>
      </c>
      <c r="BS15" s="74">
        <f ca="1">Jaargegevens!R17+Jaargegevens!AD17+Jaargegevens!J17</f>
        <v>0.36311276000000003</v>
      </c>
      <c r="BT15" s="74">
        <f t="shared" ca="1" si="35"/>
        <v>0.22177857600000003</v>
      </c>
      <c r="BU15" s="29">
        <f ca="1">Jaargegevens!AF17</f>
        <v>0.85</v>
      </c>
      <c r="BV15" s="74">
        <f t="shared" ca="1" si="36"/>
        <v>0.18851178960000003</v>
      </c>
      <c r="BW15" s="30"/>
      <c r="BX15" s="31">
        <f t="shared" ca="1" si="4"/>
        <v>-147.64733329701068</v>
      </c>
      <c r="BY15" s="31">
        <f t="shared" ca="1" si="37"/>
        <v>462.83501599999988</v>
      </c>
      <c r="BZ15" s="31">
        <f t="shared" ca="1" si="38"/>
        <v>407.78190000000001</v>
      </c>
      <c r="CA15" s="32">
        <f t="shared" ca="1" si="39"/>
        <v>978.49442744580483</v>
      </c>
      <c r="CB15" s="32">
        <f t="shared" ca="1" si="40"/>
        <v>0</v>
      </c>
      <c r="CC15" s="32">
        <f t="shared" ca="1" si="41"/>
        <v>39.147062399999982</v>
      </c>
      <c r="CD15" s="33">
        <f t="shared" ca="1" si="42"/>
        <v>1741</v>
      </c>
      <c r="CE15" s="33">
        <f ca="1">IF(CD15&lt;&gt;"",SUM(CD$12:CD15),"")</f>
        <v>5931</v>
      </c>
      <c r="CH15" s="78">
        <f t="shared" ca="1" si="5"/>
        <v>11190.627225607775</v>
      </c>
      <c r="CI15" s="78">
        <f t="shared" ca="1" si="43"/>
        <v>2500</v>
      </c>
      <c r="CJ15" s="78">
        <f t="shared" ca="1" si="44"/>
        <v>8690.6272256077755</v>
      </c>
      <c r="CK15" s="78">
        <f ca="1">Jaargegevens!G17</f>
        <v>10000</v>
      </c>
      <c r="CL15" s="78">
        <f t="shared" ca="1" si="45"/>
        <v>0</v>
      </c>
      <c r="CM15" s="79">
        <f ca="1">Jaargegevens!F17-Jaargegevens!H17</f>
        <v>2.6520000000000002E-2</v>
      </c>
      <c r="CN15" s="33">
        <f t="shared" ca="1" si="46"/>
        <v>0</v>
      </c>
      <c r="CO15" s="33"/>
      <c r="CP15" s="78">
        <f t="shared" ca="1" si="6"/>
        <v>11190.627225607775</v>
      </c>
      <c r="CQ15" s="78">
        <f t="shared" ca="1" si="7"/>
        <v>2500</v>
      </c>
      <c r="CR15" s="78">
        <f t="shared" ca="1" si="8"/>
        <v>8690.6272256077755</v>
      </c>
      <c r="CS15" s="79">
        <f t="shared" ca="1" si="9"/>
        <v>0.141334184</v>
      </c>
      <c r="CT15" s="33">
        <f t="shared" ca="1" si="47"/>
        <v>1228.2827073794588</v>
      </c>
      <c r="CU15" s="78"/>
      <c r="CV15" s="78">
        <f t="shared" ca="1" si="48"/>
        <v>11190.627225607775</v>
      </c>
      <c r="CW15" s="78">
        <f t="shared" ca="1" si="10"/>
        <v>447.62508902431142</v>
      </c>
      <c r="CX15" s="78">
        <f t="shared" ca="1" si="49"/>
        <v>10743.002136583464</v>
      </c>
      <c r="CY15" s="78">
        <f t="shared" ca="1" si="11"/>
        <v>3500</v>
      </c>
      <c r="CZ15" s="79">
        <f t="shared" ca="1" si="12"/>
        <v>0.27357275999999997</v>
      </c>
      <c r="DA15" s="33">
        <f t="shared" ca="1" si="50"/>
        <v>957.50465999999994</v>
      </c>
      <c r="DB15" s="78">
        <f t="shared" ca="1" si="13"/>
        <v>2500</v>
      </c>
      <c r="DC15" s="79">
        <f t="shared" ca="1" si="14"/>
        <v>0.16311276</v>
      </c>
      <c r="DD15" s="33">
        <f t="shared" ca="1" si="51"/>
        <v>407.78190000000001</v>
      </c>
      <c r="DE15" s="78">
        <f t="shared" ca="1" si="52"/>
        <v>4743.0021365834637</v>
      </c>
      <c r="DF15" s="79">
        <f t="shared" ca="1" si="15"/>
        <v>0.32984597360000001</v>
      </c>
      <c r="DG15" s="33">
        <f t="shared" ca="1" si="53"/>
        <v>1564.4601575282527</v>
      </c>
      <c r="DH15" s="33">
        <f t="shared" ca="1" si="54"/>
        <v>2929.7467175282527</v>
      </c>
      <c r="DJ15" s="32">
        <f t="shared" ca="1" si="55"/>
        <v>1701.4640101487939</v>
      </c>
      <c r="DK15" s="32">
        <f t="shared" ca="1" si="56"/>
        <v>0</v>
      </c>
      <c r="DL15" s="32">
        <f t="shared" ca="1" si="57"/>
        <v>39.147062399999982</v>
      </c>
      <c r="DM15" s="32"/>
      <c r="DN15" s="33">
        <f t="shared" ca="1" si="62"/>
        <v>1741</v>
      </c>
    </row>
    <row r="16" spans="1:118">
      <c r="A16" s="19">
        <v>5</v>
      </c>
      <c r="B16" s="19">
        <f ca="1">Jaargegevens!A18</f>
        <v>2029</v>
      </c>
      <c r="C16" s="20" t="str">
        <f ca="1">IF(A16&gt;Calculator!$R$96,"Nee",IF(H15&lt;K16,"Ja","Nee"))</f>
        <v>Ja</v>
      </c>
      <c r="D16" s="23">
        <f ca="1">Jaargegevens!D18</f>
        <v>2.5000000000000001E-2</v>
      </c>
      <c r="F16" s="212">
        <f ca="1">Cycli!Q14</f>
        <v>1.5</v>
      </c>
      <c r="G16" s="20">
        <f t="shared" ca="1" si="58"/>
        <v>547.5</v>
      </c>
      <c r="H16" s="20">
        <f ca="1">SUM(G$12:G16)</f>
        <v>2236.5</v>
      </c>
      <c r="I16" s="25">
        <f>Calculator!$R$94</f>
        <v>0.96</v>
      </c>
      <c r="K16" s="24">
        <f t="shared" si="59"/>
        <v>10000</v>
      </c>
      <c r="L16" s="25">
        <f>Calculator!$R$100</f>
        <v>0.7</v>
      </c>
      <c r="M16" s="169">
        <f ca="1">Degradatie!F20</f>
        <v>2.3560950518885879E-2</v>
      </c>
      <c r="N16" s="169">
        <f ca="1">SUM(M$10:M16)</f>
        <v>0.10022936850652139</v>
      </c>
      <c r="O16" s="170"/>
      <c r="P16" s="169">
        <f t="shared" ca="1" si="60"/>
        <v>0.9115511067529215</v>
      </c>
      <c r="Q16" s="26">
        <f ca="1">P16*Calculator!$R$92</f>
        <v>19.917391682551337</v>
      </c>
      <c r="R16" s="20">
        <f t="shared" ca="1" si="16"/>
        <v>10904.771946196857</v>
      </c>
      <c r="S16" s="20">
        <f ca="1">SUM(R$12:R16)</f>
        <v>46379.428071954193</v>
      </c>
      <c r="U16" s="27">
        <f t="shared" ca="1" si="61"/>
        <v>200.36118987359995</v>
      </c>
      <c r="V16" s="27">
        <f ca="1">IF(Calculator!$R$73&gt;0,(Jaargegevens!L18+Jaargegevens!M18)*12,Jaargegevens!L18*12)</f>
        <v>160.2354509136</v>
      </c>
      <c r="X16" s="74">
        <f t="shared" ca="1" si="17"/>
        <v>6.368846456039999E-2</v>
      </c>
      <c r="Y16" s="74">
        <f ca="1">Jaargegevens!F18</f>
        <v>0.11046</v>
      </c>
      <c r="Z16" s="74">
        <f t="shared" ca="1" si="18"/>
        <v>0.17414846456040001</v>
      </c>
      <c r="AA16" s="74">
        <f ca="1">IF(Calculator!$R$25="Dynamisch",Opbrengsten!Z16,AA15*(1+D15))</f>
        <v>0.16719057899999998</v>
      </c>
      <c r="AB16" s="74">
        <f ca="1">IF(Calculator!$R$25="Dynamisch",0,AB15*(1+D15))</f>
        <v>0.15604454040000001</v>
      </c>
      <c r="AC16" s="75"/>
      <c r="AD16" s="74">
        <f ca="1">Jaargegevens!O18+Jaargegevens!P18</f>
        <v>3.1146038600000002E-2</v>
      </c>
      <c r="AE16" s="74">
        <f t="shared" ca="1" si="19"/>
        <v>0.11046</v>
      </c>
      <c r="AF16" s="74">
        <f t="shared" ca="1" si="20"/>
        <v>0.14160603860000001</v>
      </c>
      <c r="AG16" s="75"/>
      <c r="AH16" s="74">
        <f ca="1">Jaargegevens!R18</f>
        <v>0.16719057899999998</v>
      </c>
      <c r="AI16" s="74">
        <f t="shared" ca="1" si="0"/>
        <v>0.11046</v>
      </c>
      <c r="AJ16" s="74">
        <f t="shared" ca="1" si="21"/>
        <v>0.27765057900000001</v>
      </c>
      <c r="AL16" s="74">
        <f t="shared" ca="1" si="22"/>
        <v>9.9168308799999993E-2</v>
      </c>
      <c r="AM16" s="74">
        <f t="shared" ca="1" si="23"/>
        <v>0.11046</v>
      </c>
      <c r="AN16" s="74">
        <f t="shared" ca="1" si="24"/>
        <v>0.2096283088</v>
      </c>
      <c r="AP16" s="20">
        <f>Calculator!$R$38</f>
        <v>4500</v>
      </c>
      <c r="AQ16" s="20">
        <f t="shared" ca="1" si="25"/>
        <v>0</v>
      </c>
      <c r="AR16" s="20">
        <f t="shared" ca="1" si="26"/>
        <v>4500</v>
      </c>
      <c r="AT16" s="20">
        <f ca="1">MIN(MAX(0,-Jaargegevens!U18),365)</f>
        <v>0</v>
      </c>
      <c r="AU16" s="20">
        <f ca="1">MAX(0,(Opbrengsten!AT16/365)*Calculator!$R$71)</f>
        <v>0</v>
      </c>
      <c r="AV16" s="26">
        <f ca="1">Jaargegevens!X18</f>
        <v>3.5</v>
      </c>
      <c r="AW16" s="20">
        <f t="shared" ca="1" si="27"/>
        <v>0</v>
      </c>
      <c r="AY16" s="20">
        <f t="shared" ca="1" si="1"/>
        <v>3500</v>
      </c>
      <c r="AZ16" s="20">
        <f>Calculator!$R$34</f>
        <v>3500</v>
      </c>
      <c r="BA16" s="97">
        <f>Calculator!$V$36</f>
        <v>0.2857142857142857</v>
      </c>
      <c r="BB16" s="96">
        <f>Calculator!$R$36</f>
        <v>1000</v>
      </c>
      <c r="BC16" s="214">
        <f ca="1">MIN(Calculator!$R$32,R16)</f>
        <v>2500</v>
      </c>
      <c r="BD16" s="20">
        <f t="shared" ca="1" si="28"/>
        <v>4500</v>
      </c>
      <c r="BE16" s="214">
        <f t="shared" ca="1" si="29"/>
        <v>3500</v>
      </c>
      <c r="BG16" s="28">
        <f t="shared" ca="1" si="30"/>
        <v>2500</v>
      </c>
      <c r="BH16" s="28">
        <f t="shared" ca="1" si="2"/>
        <v>10904.771946196857</v>
      </c>
      <c r="BI16" s="28">
        <f t="shared" ca="1" si="31"/>
        <v>2500</v>
      </c>
      <c r="BJ16" s="74">
        <f ca="1">IF(B16&lt;=Jaargegevens!$M$7,Calculator!$S$49,AH16+Jaargegevens!S18+Jaargegevens!J18)</f>
        <v>0.16719057899999998</v>
      </c>
      <c r="BL16" s="20" t="str">
        <f ca="1">IF(Calculator!$R$118&lt;=B16,Keuzemenu!$I$18,Keuzemenu!$I$17)</f>
        <v>Ja</v>
      </c>
      <c r="BM16" s="76">
        <f ca="1">Jaargegevens!AB18</f>
        <v>14</v>
      </c>
      <c r="BN16" s="26">
        <f ca="1">IF(Calculator!R$102/4&lt;Q16,Calculator!R$102*(BM16/60),Q16)</f>
        <v>2.3333333333333335</v>
      </c>
      <c r="BO16" s="20">
        <f t="shared" ca="1" si="32"/>
        <v>81760</v>
      </c>
      <c r="BP16" s="20">
        <f t="shared" ca="1" si="33"/>
        <v>4904.7719461968572</v>
      </c>
      <c r="BQ16" s="20">
        <f t="shared" ca="1" si="34"/>
        <v>4904.7719461968572</v>
      </c>
      <c r="BR16" s="77">
        <f t="shared" ca="1" si="3"/>
        <v>0.14160603860000001</v>
      </c>
      <c r="BS16" s="74">
        <f ca="1">Jaargegevens!R18+Jaargegevens!AD18+Jaargegevens!J18</f>
        <v>0.36719057899999996</v>
      </c>
      <c r="BT16" s="74">
        <f t="shared" ca="1" si="35"/>
        <v>0.22558454039999995</v>
      </c>
      <c r="BU16" s="29">
        <f ca="1">Jaargegevens!AF18</f>
        <v>0.85</v>
      </c>
      <c r="BV16" s="74">
        <f t="shared" ca="1" si="36"/>
        <v>0.19174685933999996</v>
      </c>
      <c r="BW16" s="30"/>
      <c r="BX16" s="31">
        <f t="shared" ca="1" si="4"/>
        <v>-145.40549318558158</v>
      </c>
      <c r="BY16" s="31">
        <f t="shared" ca="1" si="37"/>
        <v>476.15589139999997</v>
      </c>
      <c r="BZ16" s="31">
        <f t="shared" ca="1" si="38"/>
        <v>417.97644749999995</v>
      </c>
      <c r="CA16" s="32">
        <f t="shared" ca="1" si="39"/>
        <v>940.47461646218665</v>
      </c>
      <c r="CB16" s="32">
        <f t="shared" ca="1" si="40"/>
        <v>0</v>
      </c>
      <c r="CC16" s="32">
        <f t="shared" ca="1" si="41"/>
        <v>40.12573895999995</v>
      </c>
      <c r="CD16" s="33">
        <f t="shared" ca="1" si="42"/>
        <v>1729</v>
      </c>
      <c r="CE16" s="33">
        <f ca="1">IF(CD16&lt;&gt;"",SUM(CD$12:CD16),"")</f>
        <v>7660</v>
      </c>
      <c r="CH16" s="78">
        <f t="shared" ca="1" si="5"/>
        <v>10904.771946196857</v>
      </c>
      <c r="CI16" s="78">
        <f t="shared" ca="1" si="43"/>
        <v>2500</v>
      </c>
      <c r="CJ16" s="78">
        <f t="shared" ca="1" si="44"/>
        <v>8404.7719461968572</v>
      </c>
      <c r="CK16" s="78">
        <f ca="1">Jaargegevens!G18</f>
        <v>10000</v>
      </c>
      <c r="CL16" s="78">
        <f t="shared" ca="1" si="45"/>
        <v>0</v>
      </c>
      <c r="CM16" s="79">
        <f ca="1">Jaargegevens!F18-Jaargegevens!H18</f>
        <v>2.6520000000000002E-2</v>
      </c>
      <c r="CN16" s="33">
        <f t="shared" ca="1" si="46"/>
        <v>0</v>
      </c>
      <c r="CO16" s="33"/>
      <c r="CP16" s="78">
        <f t="shared" ca="1" si="6"/>
        <v>10904.771946196857</v>
      </c>
      <c r="CQ16" s="78">
        <f t="shared" ca="1" si="7"/>
        <v>2500</v>
      </c>
      <c r="CR16" s="78">
        <f t="shared" ca="1" si="8"/>
        <v>8404.7719461968572</v>
      </c>
      <c r="CS16" s="79">
        <f t="shared" ca="1" si="9"/>
        <v>0.14160603860000001</v>
      </c>
      <c r="CT16" s="33">
        <f t="shared" ca="1" si="47"/>
        <v>1190.1664606373495</v>
      </c>
      <c r="CU16" s="78"/>
      <c r="CV16" s="78">
        <f t="shared" ca="1" si="48"/>
        <v>10904.771946196857</v>
      </c>
      <c r="CW16" s="78">
        <f t="shared" ca="1" si="10"/>
        <v>436.19087784787467</v>
      </c>
      <c r="CX16" s="78">
        <f t="shared" ca="1" si="49"/>
        <v>10468.581068348982</v>
      </c>
      <c r="CY16" s="78">
        <f t="shared" ca="1" si="11"/>
        <v>3500</v>
      </c>
      <c r="CZ16" s="79">
        <f t="shared" ca="1" si="12"/>
        <v>0.27765057900000001</v>
      </c>
      <c r="DA16" s="33">
        <f t="shared" ca="1" si="50"/>
        <v>971.77702650000003</v>
      </c>
      <c r="DB16" s="78">
        <f t="shared" ca="1" si="13"/>
        <v>2500</v>
      </c>
      <c r="DC16" s="79">
        <f t="shared" ca="1" si="14"/>
        <v>0.16719057899999998</v>
      </c>
      <c r="DD16" s="33">
        <f t="shared" ca="1" si="51"/>
        <v>417.97644749999995</v>
      </c>
      <c r="DE16" s="78">
        <f t="shared" ca="1" si="52"/>
        <v>4468.5810683489817</v>
      </c>
      <c r="DF16" s="79">
        <f t="shared" ca="1" si="15"/>
        <v>0.33335289794</v>
      </c>
      <c r="DG16" s="33">
        <f t="shared" ca="1" si="53"/>
        <v>1489.6144488139544</v>
      </c>
      <c r="DH16" s="33">
        <f t="shared" ca="1" si="54"/>
        <v>2879.3679228139545</v>
      </c>
      <c r="DJ16" s="32">
        <f t="shared" ca="1" si="55"/>
        <v>1689.201462176605</v>
      </c>
      <c r="DK16" s="32">
        <f t="shared" ca="1" si="56"/>
        <v>0</v>
      </c>
      <c r="DL16" s="32">
        <f t="shared" ca="1" si="57"/>
        <v>40.12573895999995</v>
      </c>
      <c r="DM16" s="32"/>
      <c r="DN16" s="33">
        <f t="shared" ca="1" si="62"/>
        <v>1729</v>
      </c>
    </row>
    <row r="17" spans="1:118">
      <c r="A17" s="19">
        <v>6</v>
      </c>
      <c r="B17" s="19">
        <f ca="1">Jaargegevens!A19</f>
        <v>2030</v>
      </c>
      <c r="C17" s="20" t="str">
        <f ca="1">IF(A17&gt;Calculator!$R$96,"Nee",IF(H16&lt;K17,"Ja","Nee"))</f>
        <v>Ja</v>
      </c>
      <c r="D17" s="23">
        <f ca="1">Jaargegevens!D19</f>
        <v>2.5000000000000001E-2</v>
      </c>
      <c r="F17" s="212">
        <f ca="1">Cycli!Q15</f>
        <v>1.5</v>
      </c>
      <c r="G17" s="20">
        <f t="shared" ca="1" si="58"/>
        <v>547.5</v>
      </c>
      <c r="H17" s="20">
        <f ca="1">SUM(G$12:G17)</f>
        <v>2784</v>
      </c>
      <c r="I17" s="25">
        <f>Calculator!$R$94</f>
        <v>0.96</v>
      </c>
      <c r="K17" s="24">
        <f t="shared" si="59"/>
        <v>10000</v>
      </c>
      <c r="L17" s="25">
        <f>Calculator!$R$100</f>
        <v>0.7</v>
      </c>
      <c r="M17" s="169">
        <f ca="1">Degradatie!F21</f>
        <v>2.2840613571336175E-2</v>
      </c>
      <c r="N17" s="169">
        <f ca="1">SUM(M$10:M17)</f>
        <v>0.12306998207785758</v>
      </c>
      <c r="O17" s="170"/>
      <c r="P17" s="169">
        <f t="shared" ca="1" si="60"/>
        <v>0.8883503247078105</v>
      </c>
      <c r="Q17" s="26">
        <f ca="1">P17*Calculator!$R$92</f>
        <v>19.410454594865662</v>
      </c>
      <c r="R17" s="20">
        <f t="shared" ca="1" si="16"/>
        <v>10627.223890688951</v>
      </c>
      <c r="S17" s="20">
        <f ca="1">SUM(R$12:R17)</f>
        <v>57006.65196264314</v>
      </c>
      <c r="U17" s="27">
        <f t="shared" ca="1" si="61"/>
        <v>205.37021962043994</v>
      </c>
      <c r="V17" s="27">
        <f ca="1">IF(Calculator!$R$73&gt;0,(Jaargegevens!L19+Jaargegevens!M19)*12,Jaargegevens!L19*12)</f>
        <v>164.24133718643998</v>
      </c>
      <c r="X17" s="74">
        <f t="shared" ca="1" si="17"/>
        <v>6.5280676174409982E-2</v>
      </c>
      <c r="Y17" s="74">
        <f ca="1">Jaargegevens!F19</f>
        <v>0.11046</v>
      </c>
      <c r="Z17" s="74">
        <f t="shared" ca="1" si="18"/>
        <v>0.17574067617440997</v>
      </c>
      <c r="AA17" s="74">
        <f ca="1">IF(Calculator!$R$25="Dynamisch",Opbrengsten!Z17,AA16*(1+D16))</f>
        <v>0.17137034347499996</v>
      </c>
      <c r="AB17" s="74">
        <f ca="1">IF(Calculator!$R$25="Dynamisch",0,AB16*(1+D16))</f>
        <v>0.15994565391000001</v>
      </c>
      <c r="AC17" s="75"/>
      <c r="AD17" s="74">
        <f ca="1">Jaargegevens!O19+Jaargegevens!P19</f>
        <v>3.1424689564999997E-2</v>
      </c>
      <c r="AE17" s="74">
        <f t="shared" ca="1" si="19"/>
        <v>0.11046</v>
      </c>
      <c r="AF17" s="74">
        <f t="shared" ca="1" si="20"/>
        <v>0.141884689565</v>
      </c>
      <c r="AG17" s="75"/>
      <c r="AH17" s="74">
        <f ca="1">Jaargegevens!R19</f>
        <v>0.17137034347499996</v>
      </c>
      <c r="AI17" s="74">
        <f t="shared" ca="1" si="0"/>
        <v>0.11046</v>
      </c>
      <c r="AJ17" s="74">
        <f t="shared" ca="1" si="21"/>
        <v>0.28183034347499997</v>
      </c>
      <c r="AL17" s="74">
        <f t="shared" ca="1" si="22"/>
        <v>0.10139751651999998</v>
      </c>
      <c r="AM17" s="74">
        <f t="shared" ca="1" si="23"/>
        <v>0.11046</v>
      </c>
      <c r="AN17" s="74">
        <f t="shared" ca="1" si="24"/>
        <v>0.21185751651999998</v>
      </c>
      <c r="AP17" s="20">
        <f>Calculator!$R$38</f>
        <v>4500</v>
      </c>
      <c r="AQ17" s="20">
        <f t="shared" ca="1" si="25"/>
        <v>0</v>
      </c>
      <c r="AR17" s="20">
        <f t="shared" ca="1" si="26"/>
        <v>4500</v>
      </c>
      <c r="AT17" s="20">
        <f ca="1">MIN(MAX(0,-Jaargegevens!U19),365)</f>
        <v>0</v>
      </c>
      <c r="AU17" s="20">
        <f ca="1">MAX(0,(Opbrengsten!AT17/365)*Calculator!$R$71)</f>
        <v>0</v>
      </c>
      <c r="AV17" s="26">
        <f ca="1">Jaargegevens!X19</f>
        <v>3.5</v>
      </c>
      <c r="AW17" s="20">
        <f t="shared" ca="1" si="27"/>
        <v>0</v>
      </c>
      <c r="AY17" s="20">
        <f t="shared" ca="1" si="1"/>
        <v>3500</v>
      </c>
      <c r="AZ17" s="20">
        <f>Calculator!$R$34</f>
        <v>3500</v>
      </c>
      <c r="BA17" s="97">
        <f>Calculator!$V$36</f>
        <v>0.2857142857142857</v>
      </c>
      <c r="BB17" s="96">
        <f>Calculator!$R$36</f>
        <v>1000</v>
      </c>
      <c r="BC17" s="214">
        <f ca="1">MIN(Calculator!$R$32,R17)</f>
        <v>2500</v>
      </c>
      <c r="BD17" s="20">
        <f t="shared" ca="1" si="28"/>
        <v>4500</v>
      </c>
      <c r="BE17" s="214">
        <f t="shared" ca="1" si="29"/>
        <v>3500</v>
      </c>
      <c r="BG17" s="28">
        <f t="shared" ca="1" si="30"/>
        <v>2500</v>
      </c>
      <c r="BH17" s="28">
        <f t="shared" ca="1" si="2"/>
        <v>10627.223890688951</v>
      </c>
      <c r="BI17" s="28">
        <f t="shared" ca="1" si="31"/>
        <v>2500</v>
      </c>
      <c r="BJ17" s="74">
        <f ca="1">IF(B17&lt;=Jaargegevens!$M$7,Calculator!$S$49,AH17+Jaargegevens!S19+Jaargegevens!J19)</f>
        <v>0.17137034347499996</v>
      </c>
      <c r="BL17" s="20" t="str">
        <f ca="1">IF(Calculator!$R$118&lt;=B17,Keuzemenu!$I$18,Keuzemenu!$I$17)</f>
        <v>Ja</v>
      </c>
      <c r="BM17" s="76">
        <f ca="1">Jaargegevens!AB19</f>
        <v>14</v>
      </c>
      <c r="BN17" s="26">
        <f ca="1">IF(Calculator!R$102/4&lt;Q17,Calculator!R$102*(BM17/60),Q17)</f>
        <v>2.3333333333333335</v>
      </c>
      <c r="BO17" s="20">
        <f t="shared" ca="1" si="32"/>
        <v>81760</v>
      </c>
      <c r="BP17" s="20">
        <f t="shared" ca="1" si="33"/>
        <v>4627.2238906889506</v>
      </c>
      <c r="BQ17" s="20">
        <f t="shared" ca="1" si="34"/>
        <v>4627.2238906889506</v>
      </c>
      <c r="BR17" s="77">
        <f t="shared" ca="1" si="3"/>
        <v>0.141884689565</v>
      </c>
      <c r="BS17" s="74">
        <f ca="1">Jaargegevens!R19+Jaargegevens!AD19+Jaargegevens!J19</f>
        <v>0.37137034347499998</v>
      </c>
      <c r="BT17" s="74">
        <f t="shared" ca="1" si="35"/>
        <v>0.22948565390999998</v>
      </c>
      <c r="BU17" s="29">
        <f ca="1">Jaargegevens!AF19</f>
        <v>0.85</v>
      </c>
      <c r="BV17" s="74">
        <f t="shared" ca="1" si="36"/>
        <v>0.19506280582349997</v>
      </c>
      <c r="BW17" s="30"/>
      <c r="BX17" s="31">
        <f t="shared" ca="1" si="4"/>
        <v>-143.23265891601901</v>
      </c>
      <c r="BY17" s="31">
        <f t="shared" ca="1" si="37"/>
        <v>489.80978868499989</v>
      </c>
      <c r="BZ17" s="31">
        <f t="shared" ca="1" si="38"/>
        <v>428.4258586874999</v>
      </c>
      <c r="CA17" s="32">
        <f t="shared" ca="1" si="39"/>
        <v>902.5992752913188</v>
      </c>
      <c r="CB17" s="32">
        <f t="shared" ca="1" si="40"/>
        <v>0</v>
      </c>
      <c r="CC17" s="32">
        <f t="shared" ca="1" si="41"/>
        <v>41.128882433999962</v>
      </c>
      <c r="CD17" s="33">
        <f t="shared" ca="1" si="42"/>
        <v>1719</v>
      </c>
      <c r="CE17" s="33">
        <f ca="1">IF(CD17&lt;&gt;"",SUM(CD$12:CD17),"")</f>
        <v>9379</v>
      </c>
      <c r="CH17" s="78">
        <f t="shared" ca="1" si="5"/>
        <v>10627.223890688951</v>
      </c>
      <c r="CI17" s="78">
        <f t="shared" ca="1" si="43"/>
        <v>2500</v>
      </c>
      <c r="CJ17" s="78">
        <f t="shared" ca="1" si="44"/>
        <v>8127.2238906889506</v>
      </c>
      <c r="CK17" s="78">
        <f ca="1">Jaargegevens!G19</f>
        <v>10000</v>
      </c>
      <c r="CL17" s="78">
        <f t="shared" ca="1" si="45"/>
        <v>0</v>
      </c>
      <c r="CM17" s="79">
        <f ca="1">Jaargegevens!F19-Jaargegevens!H19</f>
        <v>2.6520000000000002E-2</v>
      </c>
      <c r="CN17" s="33">
        <f t="shared" ca="1" si="46"/>
        <v>0</v>
      </c>
      <c r="CO17" s="33"/>
      <c r="CP17" s="78">
        <f t="shared" ca="1" si="6"/>
        <v>10627.223890688951</v>
      </c>
      <c r="CQ17" s="78">
        <f t="shared" ca="1" si="7"/>
        <v>2500</v>
      </c>
      <c r="CR17" s="78">
        <f t="shared" ca="1" si="8"/>
        <v>8127.2238906889506</v>
      </c>
      <c r="CS17" s="79">
        <f t="shared" ca="1" si="9"/>
        <v>0.141884689565</v>
      </c>
      <c r="CT17" s="33">
        <f t="shared" ca="1" si="47"/>
        <v>1153.1286387556534</v>
      </c>
      <c r="CU17" s="78"/>
      <c r="CV17" s="78">
        <f t="shared" ca="1" si="48"/>
        <v>10627.223890688951</v>
      </c>
      <c r="CW17" s="78">
        <f t="shared" ca="1" si="10"/>
        <v>425.08895562755839</v>
      </c>
      <c r="CX17" s="78">
        <f t="shared" ca="1" si="49"/>
        <v>10202.134935061393</v>
      </c>
      <c r="CY17" s="78">
        <f t="shared" ca="1" si="11"/>
        <v>3500</v>
      </c>
      <c r="CZ17" s="79">
        <f t="shared" ca="1" si="12"/>
        <v>0.28183034347499997</v>
      </c>
      <c r="DA17" s="33">
        <f t="shared" ca="1" si="50"/>
        <v>986.40620216249988</v>
      </c>
      <c r="DB17" s="78">
        <f t="shared" ca="1" si="13"/>
        <v>2500</v>
      </c>
      <c r="DC17" s="79">
        <f t="shared" ca="1" si="14"/>
        <v>0.17137034347499996</v>
      </c>
      <c r="DD17" s="33">
        <f t="shared" ca="1" si="51"/>
        <v>428.4258586874999</v>
      </c>
      <c r="DE17" s="78">
        <f t="shared" ca="1" si="52"/>
        <v>4202.1349350613928</v>
      </c>
      <c r="DF17" s="79">
        <f t="shared" ca="1" si="15"/>
        <v>0.3369474953885</v>
      </c>
      <c r="DG17" s="33">
        <f t="shared" ca="1" si="53"/>
        <v>1415.8988416534535</v>
      </c>
      <c r="DH17" s="33">
        <f t="shared" ca="1" si="54"/>
        <v>2830.7309025034533</v>
      </c>
      <c r="DJ17" s="32">
        <f t="shared" ca="1" si="55"/>
        <v>1677.6022637478</v>
      </c>
      <c r="DK17" s="32">
        <f t="shared" ca="1" si="56"/>
        <v>0</v>
      </c>
      <c r="DL17" s="32">
        <f t="shared" ca="1" si="57"/>
        <v>41.128882433999962</v>
      </c>
      <c r="DM17" s="32"/>
      <c r="DN17" s="33">
        <f t="shared" ca="1" si="62"/>
        <v>1719</v>
      </c>
    </row>
    <row r="18" spans="1:118">
      <c r="A18" s="19">
        <v>7</v>
      </c>
      <c r="B18" s="19">
        <f ca="1">Jaargegevens!A20</f>
        <v>2031</v>
      </c>
      <c r="C18" s="20" t="str">
        <f ca="1">IF(A18&gt;Calculator!$R$96,"Nee",IF(H17&lt;K18,"Ja","Nee"))</f>
        <v>Ja</v>
      </c>
      <c r="D18" s="23">
        <f ca="1">Jaargegevens!D20</f>
        <v>2.5000000000000001E-2</v>
      </c>
      <c r="F18" s="212">
        <f ca="1">Cycli!Q16</f>
        <v>1.5</v>
      </c>
      <c r="G18" s="20">
        <f t="shared" ca="1" si="58"/>
        <v>547.5</v>
      </c>
      <c r="H18" s="20">
        <f ca="1">SUM(G$12:G18)</f>
        <v>3331.5</v>
      </c>
      <c r="I18" s="25">
        <f>Calculator!$R$94</f>
        <v>0.96</v>
      </c>
      <c r="K18" s="24">
        <f t="shared" si="59"/>
        <v>10000</v>
      </c>
      <c r="L18" s="25">
        <f>Calculator!$R$100</f>
        <v>0.7</v>
      </c>
      <c r="M18" s="169">
        <f ca="1">Degradatie!F22</f>
        <v>2.2064416729934037E-2</v>
      </c>
      <c r="N18" s="169">
        <f ca="1">SUM(M$10:M18)</f>
        <v>0.14513439880779161</v>
      </c>
      <c r="O18" s="170"/>
      <c r="P18" s="169">
        <f t="shared" ca="1" si="60"/>
        <v>0.86589780955717544</v>
      </c>
      <c r="Q18" s="26">
        <f ca="1">P18*Calculator!$R$92</f>
        <v>18.919867138824284</v>
      </c>
      <c r="R18" s="20">
        <f t="shared" ca="1" si="16"/>
        <v>10358.627258506296</v>
      </c>
      <c r="S18" s="20">
        <f ca="1">SUM(R$12:R18)</f>
        <v>67365.279221149438</v>
      </c>
      <c r="U18" s="27">
        <f t="shared" ca="1" si="61"/>
        <v>210.50447511095092</v>
      </c>
      <c r="V18" s="27">
        <f ca="1">IF(Calculator!$R$73&gt;0,(Jaargegevens!L20+Jaargegevens!M20)*12,Jaargegevens!L20*12)</f>
        <v>168.34737061610099</v>
      </c>
      <c r="X18" s="74">
        <f t="shared" ca="1" si="17"/>
        <v>6.6912693078770222E-2</v>
      </c>
      <c r="Y18" s="74">
        <f ca="1">Jaargegevens!F20</f>
        <v>0.11046</v>
      </c>
      <c r="Z18" s="74">
        <f t="shared" ca="1" si="18"/>
        <v>0.17737269307877024</v>
      </c>
      <c r="AA18" s="74">
        <f ca="1">IF(Calculator!$R$25="Dynamisch",Opbrengsten!Z18,AA17*(1+D17))</f>
        <v>0.17565460206187494</v>
      </c>
      <c r="AB18" s="74">
        <f ca="1">IF(Calculator!$R$25="Dynamisch",0,AB17*(1+D17))</f>
        <v>0.16394429525775001</v>
      </c>
      <c r="AC18" s="75"/>
      <c r="AD18" s="74">
        <f ca="1">Jaargegevens!O20+Jaargegevens!P20</f>
        <v>3.1710306804124996E-2</v>
      </c>
      <c r="AE18" s="74">
        <f t="shared" ca="1" si="19"/>
        <v>0.11046</v>
      </c>
      <c r="AF18" s="74">
        <f t="shared" ca="1" si="20"/>
        <v>0.14217030680412501</v>
      </c>
      <c r="AG18" s="75"/>
      <c r="AH18" s="74">
        <f ca="1">Jaargegevens!R20</f>
        <v>0.17565460206187494</v>
      </c>
      <c r="AI18" s="74">
        <f t="shared" ca="1" si="0"/>
        <v>0.11046</v>
      </c>
      <c r="AJ18" s="74">
        <f t="shared" ca="1" si="21"/>
        <v>0.28611460206187495</v>
      </c>
      <c r="AL18" s="74">
        <f t="shared" ca="1" si="22"/>
        <v>0.10368245443299998</v>
      </c>
      <c r="AM18" s="74">
        <f t="shared" ca="1" si="23"/>
        <v>0.11046</v>
      </c>
      <c r="AN18" s="74">
        <f t="shared" ca="1" si="24"/>
        <v>0.21414245443299998</v>
      </c>
      <c r="AP18" s="20">
        <f>Calculator!$R$38</f>
        <v>4500</v>
      </c>
      <c r="AQ18" s="20">
        <f t="shared" ca="1" si="25"/>
        <v>0</v>
      </c>
      <c r="AR18" s="20">
        <f t="shared" ca="1" si="26"/>
        <v>4500</v>
      </c>
      <c r="AT18" s="20">
        <f ca="1">MIN(MAX(0,-Jaargegevens!U20),365)</f>
        <v>0</v>
      </c>
      <c r="AU18" s="20">
        <f ca="1">MAX(0,(Opbrengsten!AT18/365)*Calculator!$R$71)</f>
        <v>0</v>
      </c>
      <c r="AV18" s="26">
        <f ca="1">Jaargegevens!X20</f>
        <v>3.5</v>
      </c>
      <c r="AW18" s="20">
        <f t="shared" ca="1" si="27"/>
        <v>0</v>
      </c>
      <c r="AY18" s="20">
        <f t="shared" ca="1" si="1"/>
        <v>3500</v>
      </c>
      <c r="AZ18" s="20">
        <f>Calculator!$R$34</f>
        <v>3500</v>
      </c>
      <c r="BA18" s="97">
        <f>Calculator!$V$36</f>
        <v>0.2857142857142857</v>
      </c>
      <c r="BB18" s="96">
        <f>Calculator!$R$36</f>
        <v>1000</v>
      </c>
      <c r="BC18" s="214">
        <f ca="1">MIN(Calculator!$R$32,R18)</f>
        <v>2500</v>
      </c>
      <c r="BD18" s="20">
        <f t="shared" ca="1" si="28"/>
        <v>4500</v>
      </c>
      <c r="BE18" s="214">
        <f t="shared" ca="1" si="29"/>
        <v>3500</v>
      </c>
      <c r="BG18" s="28">
        <f t="shared" ca="1" si="30"/>
        <v>2500</v>
      </c>
      <c r="BH18" s="28">
        <f t="shared" ca="1" si="2"/>
        <v>10358.627258506296</v>
      </c>
      <c r="BI18" s="28">
        <f t="shared" ca="1" si="31"/>
        <v>2500</v>
      </c>
      <c r="BJ18" s="74">
        <f ca="1">IF(B18&lt;=Jaargegevens!$M$7,Calculator!$S$49,AH18+Jaargegevens!S20+Jaargegevens!J20)</f>
        <v>0.17565460206187494</v>
      </c>
      <c r="BL18" s="20" t="str">
        <f ca="1">IF(Calculator!$R$118&lt;=B18,Keuzemenu!$I$18,Keuzemenu!$I$17)</f>
        <v>Ja</v>
      </c>
      <c r="BM18" s="76">
        <f ca="1">Jaargegevens!AB20</f>
        <v>14</v>
      </c>
      <c r="BN18" s="26">
        <f ca="1">IF(Calculator!R$102/4&lt;Q18,Calculator!R$102*(BM18/60),Q18)</f>
        <v>2.3333333333333335</v>
      </c>
      <c r="BO18" s="20">
        <f t="shared" ca="1" si="32"/>
        <v>81760</v>
      </c>
      <c r="BP18" s="20">
        <f t="shared" ca="1" si="33"/>
        <v>4358.6272585062961</v>
      </c>
      <c r="BQ18" s="20">
        <f t="shared" ca="1" si="34"/>
        <v>4358.6272585062961</v>
      </c>
      <c r="BR18" s="77">
        <f t="shared" ca="1" si="3"/>
        <v>0.14217030680412501</v>
      </c>
      <c r="BS18" s="74">
        <f ca="1">Jaargegevens!R20+Jaargegevens!AD20+Jaargegevens!J20</f>
        <v>0.37565460206187495</v>
      </c>
      <c r="BT18" s="74">
        <f t="shared" ca="1" si="35"/>
        <v>0.23348429525774994</v>
      </c>
      <c r="BU18" s="29">
        <f ca="1">Jaargegevens!AF20</f>
        <v>0.85</v>
      </c>
      <c r="BV18" s="74">
        <f t="shared" ca="1" si="36"/>
        <v>0.19846165096908744</v>
      </c>
      <c r="BW18" s="30"/>
      <c r="BX18" s="31">
        <f t="shared" ca="1" si="4"/>
        <v>-141.13917931631869</v>
      </c>
      <c r="BY18" s="31">
        <f t="shared" ca="1" si="37"/>
        <v>503.80503340212476</v>
      </c>
      <c r="BZ18" s="31">
        <f t="shared" ca="1" si="38"/>
        <v>439.13650515468737</v>
      </c>
      <c r="CA18" s="32">
        <f t="shared" ca="1" si="39"/>
        <v>865.02036168202699</v>
      </c>
      <c r="CB18" s="32">
        <f t="shared" ca="1" si="40"/>
        <v>0</v>
      </c>
      <c r="CC18" s="32">
        <f t="shared" ca="1" si="41"/>
        <v>42.157104494849932</v>
      </c>
      <c r="CD18" s="33">
        <f t="shared" ca="1" si="42"/>
        <v>1709</v>
      </c>
      <c r="CE18" s="33">
        <f ca="1">IF(CD18&lt;&gt;"",SUM(CD$12:CD18),"")</f>
        <v>11088</v>
      </c>
      <c r="CH18" s="78">
        <f t="shared" ca="1" si="5"/>
        <v>10358.627258506296</v>
      </c>
      <c r="CI18" s="78">
        <f t="shared" ca="1" si="43"/>
        <v>2500</v>
      </c>
      <c r="CJ18" s="78">
        <f t="shared" ca="1" si="44"/>
        <v>7858.6272585062961</v>
      </c>
      <c r="CK18" s="78">
        <f ca="1">Jaargegevens!G20</f>
        <v>10000</v>
      </c>
      <c r="CL18" s="78">
        <f t="shared" ca="1" si="45"/>
        <v>0</v>
      </c>
      <c r="CM18" s="79">
        <f ca="1">Jaargegevens!F20-Jaargegevens!H20</f>
        <v>2.6520000000000002E-2</v>
      </c>
      <c r="CN18" s="33">
        <f t="shared" ca="1" si="46"/>
        <v>0</v>
      </c>
      <c r="CO18" s="33"/>
      <c r="CP18" s="78">
        <f t="shared" ca="1" si="6"/>
        <v>10358.627258506296</v>
      </c>
      <c r="CQ18" s="78">
        <f t="shared" ca="1" si="7"/>
        <v>2500</v>
      </c>
      <c r="CR18" s="78">
        <f t="shared" ca="1" si="8"/>
        <v>7858.6272585062961</v>
      </c>
      <c r="CS18" s="79">
        <f t="shared" ca="1" si="9"/>
        <v>0.14217030680412501</v>
      </c>
      <c r="CT18" s="33">
        <f t="shared" ca="1" si="47"/>
        <v>1117.2634484011</v>
      </c>
      <c r="CU18" s="78"/>
      <c r="CV18" s="78">
        <f t="shared" ca="1" si="48"/>
        <v>10358.627258506296</v>
      </c>
      <c r="CW18" s="78">
        <f t="shared" ca="1" si="10"/>
        <v>414.34509034025223</v>
      </c>
      <c r="CX18" s="78">
        <f t="shared" ca="1" si="49"/>
        <v>9944.2821681660444</v>
      </c>
      <c r="CY18" s="78">
        <f t="shared" ca="1" si="11"/>
        <v>3500</v>
      </c>
      <c r="CZ18" s="79">
        <f t="shared" ca="1" si="12"/>
        <v>0.28611460206187495</v>
      </c>
      <c r="DA18" s="33">
        <f t="shared" ca="1" si="50"/>
        <v>1001.4011072165623</v>
      </c>
      <c r="DB18" s="78">
        <f t="shared" ca="1" si="13"/>
        <v>2500</v>
      </c>
      <c r="DC18" s="79">
        <f t="shared" ca="1" si="14"/>
        <v>0.17565460206187494</v>
      </c>
      <c r="DD18" s="33">
        <f t="shared" ca="1" si="51"/>
        <v>439.13650515468737</v>
      </c>
      <c r="DE18" s="78">
        <f t="shared" ca="1" si="52"/>
        <v>3944.2821681660444</v>
      </c>
      <c r="DF18" s="79">
        <f t="shared" ca="1" si="15"/>
        <v>0.34063195777321242</v>
      </c>
      <c r="DG18" s="33">
        <f t="shared" ca="1" si="53"/>
        <v>1343.5485569523707</v>
      </c>
      <c r="DH18" s="33">
        <f t="shared" ca="1" si="54"/>
        <v>2784.0861693236202</v>
      </c>
      <c r="DJ18" s="32">
        <f t="shared" ca="1" si="55"/>
        <v>1666.8227209225201</v>
      </c>
      <c r="DK18" s="32">
        <f t="shared" ca="1" si="56"/>
        <v>0</v>
      </c>
      <c r="DL18" s="32">
        <f t="shared" ca="1" si="57"/>
        <v>42.157104494849932</v>
      </c>
      <c r="DM18" s="32"/>
      <c r="DN18" s="33">
        <f t="shared" ca="1" si="62"/>
        <v>1709</v>
      </c>
    </row>
    <row r="19" spans="1:118">
      <c r="A19" s="19">
        <v>8</v>
      </c>
      <c r="B19" s="19">
        <f ca="1">Jaargegevens!A21</f>
        <v>2032</v>
      </c>
      <c r="C19" s="20" t="str">
        <f ca="1">IF(A19&gt;Calculator!$R$96,"Nee",IF(H18&lt;K19,"Ja","Nee"))</f>
        <v>Ja</v>
      </c>
      <c r="D19" s="23">
        <f ca="1">Jaargegevens!D21</f>
        <v>2.5000000000000001E-2</v>
      </c>
      <c r="F19" s="212">
        <f ca="1">Cycli!Q17</f>
        <v>1.5</v>
      </c>
      <c r="G19" s="20">
        <f t="shared" ca="1" si="58"/>
        <v>547.5</v>
      </c>
      <c r="H19" s="20">
        <f ca="1">SUM(G$12:G19)</f>
        <v>3879</v>
      </c>
      <c r="I19" s="25">
        <f>Calculator!$R$94</f>
        <v>0.96</v>
      </c>
      <c r="K19" s="24">
        <f t="shared" si="59"/>
        <v>10000</v>
      </c>
      <c r="L19" s="25">
        <f>Calculator!$R$100</f>
        <v>0.7</v>
      </c>
      <c r="M19" s="169">
        <f ca="1">Degradatie!F23</f>
        <v>2.122802823333941E-2</v>
      </c>
      <c r="N19" s="169">
        <f ca="1">SUM(M$10:M19)</f>
        <v>0.16636242704113102</v>
      </c>
      <c r="O19" s="170"/>
      <c r="P19" s="169">
        <f t="shared" ca="1" si="60"/>
        <v>0.84425158707553871</v>
      </c>
      <c r="Q19" s="26">
        <f ca="1">P19*Calculator!$R$92</f>
        <v>18.446897177600523</v>
      </c>
      <c r="R19" s="20">
        <f t="shared" ca="1" si="16"/>
        <v>10099.676204736286</v>
      </c>
      <c r="S19" s="20">
        <f ca="1">SUM(R$12:R19)</f>
        <v>77464.955425885724</v>
      </c>
      <c r="U19" s="27">
        <f t="shared" ca="1" si="61"/>
        <v>215.76708698872469</v>
      </c>
      <c r="V19" s="27">
        <f ca="1">IF(Calculator!$R$73&gt;0,(Jaargegevens!L21+Jaargegevens!M21)*12,Jaargegevens!L21*12)</f>
        <v>172.55605488150348</v>
      </c>
      <c r="X19" s="74">
        <f t="shared" ca="1" si="17"/>
        <v>6.8585510405739472E-2</v>
      </c>
      <c r="Y19" s="74">
        <f ca="1">Jaargegevens!F21</f>
        <v>0.11046</v>
      </c>
      <c r="Z19" s="74">
        <f t="shared" ca="1" si="18"/>
        <v>0.17904551040573946</v>
      </c>
      <c r="AA19" s="74">
        <f ca="1">IF(Calculator!$R$25="Dynamisch",Opbrengsten!Z19,AA18*(1+D18))</f>
        <v>0.1800459671134218</v>
      </c>
      <c r="AB19" s="74">
        <f ca="1">IF(Calculator!$R$25="Dynamisch",0,AB18*(1+D18))</f>
        <v>0.16804290263919375</v>
      </c>
      <c r="AC19" s="75"/>
      <c r="AD19" s="74">
        <f ca="1">Jaargegevens!O21+Jaargegevens!P21</f>
        <v>3.200306447422812E-2</v>
      </c>
      <c r="AE19" s="74">
        <f t="shared" ca="1" si="19"/>
        <v>0.11046</v>
      </c>
      <c r="AF19" s="74">
        <f t="shared" ca="1" si="20"/>
        <v>0.14246306447422813</v>
      </c>
      <c r="AG19" s="75"/>
      <c r="AH19" s="74">
        <f ca="1">Jaargegevens!R21</f>
        <v>0.1800459671134218</v>
      </c>
      <c r="AI19" s="74">
        <f t="shared" ca="1" si="0"/>
        <v>0.11046</v>
      </c>
      <c r="AJ19" s="74">
        <f t="shared" ca="1" si="21"/>
        <v>0.2905059671134218</v>
      </c>
      <c r="AL19" s="74">
        <f t="shared" ca="1" si="22"/>
        <v>0.10602451579382496</v>
      </c>
      <c r="AM19" s="74">
        <f t="shared" ca="1" si="23"/>
        <v>0.11046</v>
      </c>
      <c r="AN19" s="74">
        <f t="shared" ca="1" si="24"/>
        <v>0.21648451579382497</v>
      </c>
      <c r="AP19" s="20">
        <f>Calculator!$R$38</f>
        <v>4500</v>
      </c>
      <c r="AQ19" s="20">
        <f t="shared" ca="1" si="25"/>
        <v>0</v>
      </c>
      <c r="AR19" s="20">
        <f t="shared" ca="1" si="26"/>
        <v>4500</v>
      </c>
      <c r="AT19" s="20">
        <f ca="1">MIN(MAX(0,-Jaargegevens!U21),365)</f>
        <v>0</v>
      </c>
      <c r="AU19" s="20">
        <f ca="1">MAX(0,(Opbrengsten!AT19/365)*Calculator!$R$71)</f>
        <v>0</v>
      </c>
      <c r="AV19" s="26">
        <f ca="1">Jaargegevens!X21</f>
        <v>3.5</v>
      </c>
      <c r="AW19" s="20">
        <f t="shared" ca="1" si="27"/>
        <v>0</v>
      </c>
      <c r="AY19" s="20">
        <f t="shared" ca="1" si="1"/>
        <v>3500</v>
      </c>
      <c r="AZ19" s="20">
        <f>Calculator!$R$34</f>
        <v>3500</v>
      </c>
      <c r="BA19" s="97">
        <f>Calculator!$V$36</f>
        <v>0.2857142857142857</v>
      </c>
      <c r="BB19" s="96">
        <f>Calculator!$R$36</f>
        <v>1000</v>
      </c>
      <c r="BC19" s="214">
        <f ca="1">MIN(Calculator!$R$32,R19)</f>
        <v>2500</v>
      </c>
      <c r="BD19" s="20">
        <f t="shared" ca="1" si="28"/>
        <v>4500</v>
      </c>
      <c r="BE19" s="214">
        <f t="shared" ca="1" si="29"/>
        <v>3500</v>
      </c>
      <c r="BG19" s="28">
        <f t="shared" ca="1" si="30"/>
        <v>2500</v>
      </c>
      <c r="BH19" s="28">
        <f t="shared" ca="1" si="2"/>
        <v>10099.676204736286</v>
      </c>
      <c r="BI19" s="28">
        <f t="shared" ca="1" si="31"/>
        <v>2500</v>
      </c>
      <c r="BJ19" s="74">
        <f ca="1">IF(B19&lt;=Jaargegevens!$M$7,Calculator!$S$49,AH19+Jaargegevens!S21+Jaargegevens!J21)</f>
        <v>0.1800459671134218</v>
      </c>
      <c r="BL19" s="20" t="str">
        <f ca="1">IF(Calculator!$R$118&lt;=B19,Keuzemenu!$I$18,Keuzemenu!$I$17)</f>
        <v>Ja</v>
      </c>
      <c r="BM19" s="76">
        <f ca="1">Jaargegevens!AB21</f>
        <v>14</v>
      </c>
      <c r="BN19" s="26">
        <f ca="1">IF(Calculator!R$102/4&lt;Q19,Calculator!R$102*(BM19/60),Q19)</f>
        <v>2.3333333333333335</v>
      </c>
      <c r="BO19" s="20">
        <f t="shared" ca="1" si="32"/>
        <v>81760</v>
      </c>
      <c r="BP19" s="20">
        <f t="shared" ca="1" si="33"/>
        <v>4099.6762047362863</v>
      </c>
      <c r="BQ19" s="20">
        <f t="shared" ca="1" si="34"/>
        <v>4099.6762047362863</v>
      </c>
      <c r="BR19" s="77">
        <f t="shared" ca="1" si="3"/>
        <v>0.14246306447422813</v>
      </c>
      <c r="BS19" s="74">
        <f ca="1">Jaargegevens!R21+Jaargegevens!AD21+Jaargegevens!J21</f>
        <v>0.38004596711342181</v>
      </c>
      <c r="BT19" s="74">
        <f t="shared" ca="1" si="35"/>
        <v>0.23758290263919368</v>
      </c>
      <c r="BU19" s="29">
        <f ca="1">Jaargegevens!AF21</f>
        <v>0.85</v>
      </c>
      <c r="BV19" s="74">
        <f t="shared" ca="1" si="36"/>
        <v>0.20194546724331464</v>
      </c>
      <c r="BW19" s="30"/>
      <c r="BX19" s="31">
        <f t="shared" ca="1" si="4"/>
        <v>-139.13658609983329</v>
      </c>
      <c r="BY19" s="31">
        <f t="shared" ca="1" si="37"/>
        <v>518.15015923717783</v>
      </c>
      <c r="BZ19" s="31">
        <f t="shared" ca="1" si="38"/>
        <v>450.11491778355452</v>
      </c>
      <c r="CA19" s="32">
        <f t="shared" ca="1" si="39"/>
        <v>827.91102671176816</v>
      </c>
      <c r="CB19" s="32">
        <f t="shared" ca="1" si="40"/>
        <v>0</v>
      </c>
      <c r="CC19" s="32">
        <f t="shared" ca="1" si="41"/>
        <v>43.2110321072212</v>
      </c>
      <c r="CD19" s="33">
        <f t="shared" ca="1" si="42"/>
        <v>1700</v>
      </c>
      <c r="CE19" s="33">
        <f ca="1">IF(CD19&lt;&gt;"",SUM(CD$12:CD19),"")</f>
        <v>12788</v>
      </c>
      <c r="CH19" s="78">
        <f t="shared" ca="1" si="5"/>
        <v>10099.676204736286</v>
      </c>
      <c r="CI19" s="78">
        <f t="shared" ca="1" si="43"/>
        <v>2500</v>
      </c>
      <c r="CJ19" s="78">
        <f t="shared" ca="1" si="44"/>
        <v>7599.6762047362863</v>
      </c>
      <c r="CK19" s="78">
        <f ca="1">Jaargegevens!G21</f>
        <v>10000</v>
      </c>
      <c r="CL19" s="78">
        <f t="shared" ca="1" si="45"/>
        <v>0</v>
      </c>
      <c r="CM19" s="79">
        <f ca="1">Jaargegevens!F21-Jaargegevens!H21</f>
        <v>2.6520000000000002E-2</v>
      </c>
      <c r="CN19" s="33">
        <f t="shared" ca="1" si="46"/>
        <v>0</v>
      </c>
      <c r="CO19" s="33"/>
      <c r="CP19" s="78">
        <f t="shared" ca="1" si="6"/>
        <v>10099.676204736286</v>
      </c>
      <c r="CQ19" s="78">
        <f t="shared" ca="1" si="7"/>
        <v>2500</v>
      </c>
      <c r="CR19" s="78">
        <f t="shared" ca="1" si="8"/>
        <v>7599.6762047362863</v>
      </c>
      <c r="CS19" s="79">
        <f t="shared" ca="1" si="9"/>
        <v>0.14246306447422813</v>
      </c>
      <c r="CT19" s="33">
        <f t="shared" ca="1" si="47"/>
        <v>1082.6731611386028</v>
      </c>
      <c r="CU19" s="78"/>
      <c r="CV19" s="78">
        <f t="shared" ca="1" si="48"/>
        <v>10099.676204736286</v>
      </c>
      <c r="CW19" s="78">
        <f t="shared" ca="1" si="10"/>
        <v>403.9870481894518</v>
      </c>
      <c r="CX19" s="78">
        <f t="shared" ca="1" si="49"/>
        <v>9695.6891565468341</v>
      </c>
      <c r="CY19" s="78">
        <f t="shared" ca="1" si="11"/>
        <v>3500</v>
      </c>
      <c r="CZ19" s="79">
        <f t="shared" ca="1" si="12"/>
        <v>0.2905059671134218</v>
      </c>
      <c r="DA19" s="33">
        <f t="shared" ca="1" si="50"/>
        <v>1016.7708848969763</v>
      </c>
      <c r="DB19" s="78">
        <f t="shared" ca="1" si="13"/>
        <v>2500</v>
      </c>
      <c r="DC19" s="79">
        <f t="shared" ca="1" si="14"/>
        <v>0.1800459671134218</v>
      </c>
      <c r="DD19" s="33">
        <f t="shared" ca="1" si="51"/>
        <v>450.11491778355452</v>
      </c>
      <c r="DE19" s="78">
        <f t="shared" ca="1" si="52"/>
        <v>3695.6891565468341</v>
      </c>
      <c r="DF19" s="79">
        <f t="shared" ca="1" si="15"/>
        <v>0.34440853171754277</v>
      </c>
      <c r="DG19" s="33">
        <f t="shared" ca="1" si="53"/>
        <v>1272.8268760907392</v>
      </c>
      <c r="DH19" s="33">
        <f t="shared" ca="1" si="54"/>
        <v>2739.71267877127</v>
      </c>
      <c r="DJ19" s="32">
        <f t="shared" ca="1" si="55"/>
        <v>1657.0395176326672</v>
      </c>
      <c r="DK19" s="32">
        <f t="shared" ca="1" si="56"/>
        <v>0</v>
      </c>
      <c r="DL19" s="32">
        <f t="shared" ca="1" si="57"/>
        <v>43.2110321072212</v>
      </c>
      <c r="DM19" s="32"/>
      <c r="DN19" s="33">
        <f t="shared" ca="1" si="62"/>
        <v>1700</v>
      </c>
    </row>
    <row r="20" spans="1:118">
      <c r="A20" s="19">
        <v>9</v>
      </c>
      <c r="B20" s="19">
        <f ca="1">Jaargegevens!A22</f>
        <v>2033</v>
      </c>
      <c r="C20" s="20" t="str">
        <f ca="1">IF(A20&gt;Calculator!$R$96,"Nee",IF(H19&lt;K20,"Ja","Nee"))</f>
        <v>Ja</v>
      </c>
      <c r="D20" s="23">
        <f ca="1">Jaargegevens!D22</f>
        <v>2.5000000000000001E-2</v>
      </c>
      <c r="F20" s="212">
        <f ca="1">Cycli!Q18</f>
        <v>1.5</v>
      </c>
      <c r="G20" s="20">
        <f t="shared" ca="1" si="58"/>
        <v>547.5</v>
      </c>
      <c r="H20" s="20">
        <f ca="1">SUM(G$12:G20)</f>
        <v>4426.5</v>
      </c>
      <c r="I20" s="25">
        <f>Calculator!$R$94</f>
        <v>0.96</v>
      </c>
      <c r="K20" s="24">
        <f t="shared" si="59"/>
        <v>10000</v>
      </c>
      <c r="L20" s="25">
        <f>Calculator!$R$100</f>
        <v>0.7</v>
      </c>
      <c r="M20" s="169">
        <f ca="1">Degradatie!F24</f>
        <v>2.0326780405569133E-2</v>
      </c>
      <c r="N20" s="169">
        <f ca="1">SUM(M$10:M20)</f>
        <v>0.18668920744670014</v>
      </c>
      <c r="O20" s="170"/>
      <c r="P20" s="169">
        <f t="shared" ca="1" si="60"/>
        <v>0.82347418275608442</v>
      </c>
      <c r="Q20" s="26">
        <f ca="1">P20*Calculator!$R$92</f>
        <v>17.992910893220447</v>
      </c>
      <c r="R20" s="20">
        <f t="shared" ca="1" si="16"/>
        <v>9851.1187140381953</v>
      </c>
      <c r="S20" s="20">
        <f ca="1">SUM(R$12:R20)</f>
        <v>87316.07413992392</v>
      </c>
      <c r="U20" s="27">
        <f t="shared" ca="1" si="61"/>
        <v>221.16126416344278</v>
      </c>
      <c r="V20" s="27">
        <f ca="1">IF(Calculator!$R$73&gt;0,(Jaargegevens!L22+Jaargegevens!M22)*12,Jaargegevens!L22*12)</f>
        <v>176.86995625354106</v>
      </c>
      <c r="X20" s="74">
        <f t="shared" ca="1" si="17"/>
        <v>7.0300148165882953E-2</v>
      </c>
      <c r="Y20" s="74">
        <f ca="1">Jaargegevens!F22</f>
        <v>0.11046</v>
      </c>
      <c r="Z20" s="74">
        <f t="shared" ca="1" si="18"/>
        <v>0.18076014816588296</v>
      </c>
      <c r="AA20" s="74">
        <f ca="1">IF(Calculator!$R$25="Dynamisch",Opbrengsten!Z20,AA19*(1+D19))</f>
        <v>0.18454711629125733</v>
      </c>
      <c r="AB20" s="74">
        <f ca="1">IF(Calculator!$R$25="Dynamisch",0,AB19*(1+D19))</f>
        <v>0.17224397520517357</v>
      </c>
      <c r="AC20" s="75"/>
      <c r="AD20" s="74">
        <f ca="1">Jaargegevens!O22+Jaargegevens!P22</f>
        <v>3.2303141086083821E-2</v>
      </c>
      <c r="AE20" s="74">
        <f t="shared" ca="1" si="19"/>
        <v>0.11046</v>
      </c>
      <c r="AF20" s="74">
        <f t="shared" ca="1" si="20"/>
        <v>0.14276314108608382</v>
      </c>
      <c r="AG20" s="75"/>
      <c r="AH20" s="74">
        <f ca="1">Jaargegevens!R22</f>
        <v>0.18454711629125733</v>
      </c>
      <c r="AI20" s="74">
        <f t="shared" ca="1" si="0"/>
        <v>0.11046</v>
      </c>
      <c r="AJ20" s="74">
        <f t="shared" ca="1" si="21"/>
        <v>0.29500711629125731</v>
      </c>
      <c r="AL20" s="74">
        <f t="shared" ca="1" si="22"/>
        <v>0.10842512868867057</v>
      </c>
      <c r="AM20" s="74">
        <f t="shared" ca="1" si="23"/>
        <v>0.11046</v>
      </c>
      <c r="AN20" s="74">
        <f t="shared" ca="1" si="24"/>
        <v>0.21888512868867058</v>
      </c>
      <c r="AP20" s="20">
        <f>Calculator!$R$38</f>
        <v>4500</v>
      </c>
      <c r="AQ20" s="20">
        <f t="shared" ca="1" si="25"/>
        <v>0</v>
      </c>
      <c r="AR20" s="20">
        <f t="shared" ca="1" si="26"/>
        <v>4500</v>
      </c>
      <c r="AT20" s="20">
        <f ca="1">MIN(MAX(0,-Jaargegevens!U22),365)</f>
        <v>0</v>
      </c>
      <c r="AU20" s="20">
        <f ca="1">MAX(0,(Opbrengsten!AT20/365)*Calculator!$R$71)</f>
        <v>0</v>
      </c>
      <c r="AV20" s="26">
        <f ca="1">Jaargegevens!X22</f>
        <v>3.5</v>
      </c>
      <c r="AW20" s="20">
        <f t="shared" ca="1" si="27"/>
        <v>0</v>
      </c>
      <c r="AY20" s="20">
        <f t="shared" ca="1" si="1"/>
        <v>3500</v>
      </c>
      <c r="AZ20" s="20">
        <f>Calculator!$R$34</f>
        <v>3500</v>
      </c>
      <c r="BA20" s="97">
        <f>Calculator!$V$36</f>
        <v>0.2857142857142857</v>
      </c>
      <c r="BB20" s="96">
        <f>Calculator!$R$36</f>
        <v>1000</v>
      </c>
      <c r="BC20" s="214">
        <f ca="1">MIN(Calculator!$R$32,R20)</f>
        <v>2500</v>
      </c>
      <c r="BD20" s="20">
        <f t="shared" ca="1" si="28"/>
        <v>4500</v>
      </c>
      <c r="BE20" s="214">
        <f t="shared" ca="1" si="29"/>
        <v>3500</v>
      </c>
      <c r="BG20" s="28">
        <f t="shared" ca="1" si="30"/>
        <v>2500</v>
      </c>
      <c r="BH20" s="28">
        <f t="shared" ca="1" si="2"/>
        <v>9851.1187140381953</v>
      </c>
      <c r="BI20" s="28">
        <f t="shared" ca="1" si="31"/>
        <v>2500</v>
      </c>
      <c r="BJ20" s="74">
        <f ca="1">IF(B20&lt;=Jaargegevens!$M$7,Calculator!$S$49,AH20+Jaargegevens!S22+Jaargegevens!J22)</f>
        <v>0.18454711629125733</v>
      </c>
      <c r="BL20" s="20" t="str">
        <f ca="1">IF(Calculator!$R$118&lt;=B20,Keuzemenu!$I$18,Keuzemenu!$I$17)</f>
        <v>Ja</v>
      </c>
      <c r="BM20" s="76">
        <f ca="1">Jaargegevens!AB22</f>
        <v>14</v>
      </c>
      <c r="BN20" s="26">
        <f ca="1">IF(Calculator!R$102/4&lt;Q20,Calculator!R$102*(BM20/60),Q20)</f>
        <v>2.3333333333333335</v>
      </c>
      <c r="BO20" s="20">
        <f t="shared" ca="1" si="32"/>
        <v>81760</v>
      </c>
      <c r="BP20" s="20">
        <f t="shared" ca="1" si="33"/>
        <v>3851.1187140381953</v>
      </c>
      <c r="BQ20" s="20">
        <f t="shared" ca="1" si="34"/>
        <v>3851.1187140381953</v>
      </c>
      <c r="BR20" s="77">
        <f t="shared" ca="1" si="3"/>
        <v>0.14276314108608382</v>
      </c>
      <c r="BS20" s="74">
        <f ca="1">Jaargegevens!R22+Jaargegevens!AD22+Jaargegevens!J22</f>
        <v>0.38454711629125737</v>
      </c>
      <c r="BT20" s="74">
        <f t="shared" ca="1" si="35"/>
        <v>0.24178397520517356</v>
      </c>
      <c r="BU20" s="29">
        <f ca="1">Jaargegevens!AF22</f>
        <v>0.85</v>
      </c>
      <c r="BV20" s="74">
        <f t="shared" ca="1" si="36"/>
        <v>0.20551637892439753</v>
      </c>
      <c r="BW20" s="30"/>
      <c r="BX20" s="31">
        <f t="shared" ca="1" si="4"/>
        <v>-137.23771589165983</v>
      </c>
      <c r="BY20" s="31">
        <f t="shared" ca="1" si="37"/>
        <v>532.85391321810721</v>
      </c>
      <c r="BZ20" s="31">
        <f t="shared" ca="1" si="38"/>
        <v>461.36779072814335</v>
      </c>
      <c r="CA20" s="32">
        <f t="shared" ca="1" si="39"/>
        <v>791.46797291711232</v>
      </c>
      <c r="CB20" s="32">
        <f t="shared" ca="1" si="40"/>
        <v>0</v>
      </c>
      <c r="CC20" s="32">
        <f t="shared" ca="1" si="41"/>
        <v>44.291307909901718</v>
      </c>
      <c r="CD20" s="33">
        <f t="shared" ca="1" si="42"/>
        <v>1693</v>
      </c>
      <c r="CE20" s="33">
        <f ca="1">IF(CD20&lt;&gt;"",SUM(CD$12:CD20),"")</f>
        <v>14481</v>
      </c>
      <c r="CH20" s="78">
        <f t="shared" ca="1" si="5"/>
        <v>9851.1187140381953</v>
      </c>
      <c r="CI20" s="78">
        <f t="shared" ca="1" si="43"/>
        <v>2500</v>
      </c>
      <c r="CJ20" s="78">
        <f t="shared" ca="1" si="44"/>
        <v>7351.1187140381953</v>
      </c>
      <c r="CK20" s="78">
        <f ca="1">Jaargegevens!G22</f>
        <v>10000</v>
      </c>
      <c r="CL20" s="78">
        <f t="shared" ca="1" si="45"/>
        <v>0</v>
      </c>
      <c r="CM20" s="79">
        <f ca="1">Jaargegevens!F22-Jaargegevens!H22</f>
        <v>2.6520000000000002E-2</v>
      </c>
      <c r="CN20" s="33">
        <f t="shared" ca="1" si="46"/>
        <v>0</v>
      </c>
      <c r="CO20" s="33"/>
      <c r="CP20" s="78">
        <f t="shared" ca="1" si="6"/>
        <v>9851.1187140381953</v>
      </c>
      <c r="CQ20" s="78">
        <f t="shared" ca="1" si="7"/>
        <v>2500</v>
      </c>
      <c r="CR20" s="78">
        <f t="shared" ca="1" si="8"/>
        <v>7351.1187140381953</v>
      </c>
      <c r="CS20" s="79">
        <f t="shared" ca="1" si="9"/>
        <v>0.14276314108608382</v>
      </c>
      <c r="CT20" s="33">
        <f t="shared" ca="1" si="47"/>
        <v>1049.4687981127859</v>
      </c>
      <c r="CU20" s="78"/>
      <c r="CV20" s="78">
        <f t="shared" ca="1" si="48"/>
        <v>9851.1187140381953</v>
      </c>
      <c r="CW20" s="78">
        <f t="shared" ca="1" si="10"/>
        <v>394.04474856152814</v>
      </c>
      <c r="CX20" s="78">
        <f t="shared" ca="1" si="49"/>
        <v>9457.0739654766676</v>
      </c>
      <c r="CY20" s="78">
        <f t="shared" ca="1" si="11"/>
        <v>3500</v>
      </c>
      <c r="CZ20" s="79">
        <f t="shared" ca="1" si="12"/>
        <v>0.29500711629125731</v>
      </c>
      <c r="DA20" s="33">
        <f t="shared" ca="1" si="50"/>
        <v>1032.5249070194006</v>
      </c>
      <c r="DB20" s="78">
        <f t="shared" ca="1" si="13"/>
        <v>2500</v>
      </c>
      <c r="DC20" s="79">
        <f t="shared" ca="1" si="14"/>
        <v>0.18454711629125733</v>
      </c>
      <c r="DD20" s="33">
        <f t="shared" ca="1" si="51"/>
        <v>461.36779072814335</v>
      </c>
      <c r="DE20" s="78">
        <f t="shared" ca="1" si="52"/>
        <v>3457.0739654766676</v>
      </c>
      <c r="DF20" s="79">
        <f t="shared" ca="1" si="15"/>
        <v>0.34827952001048135</v>
      </c>
      <c r="DG20" s="33">
        <f t="shared" ca="1" si="53"/>
        <v>1204.0280613369453</v>
      </c>
      <c r="DH20" s="33">
        <f t="shared" ca="1" si="54"/>
        <v>2697.920759084489</v>
      </c>
      <c r="DJ20" s="32">
        <f t="shared" ca="1" si="55"/>
        <v>1648.4519609717031</v>
      </c>
      <c r="DK20" s="32">
        <f t="shared" ca="1" si="56"/>
        <v>0</v>
      </c>
      <c r="DL20" s="32">
        <f t="shared" ca="1" si="57"/>
        <v>44.291307909901718</v>
      </c>
      <c r="DM20" s="32"/>
      <c r="DN20" s="33">
        <f t="shared" ca="1" si="62"/>
        <v>1693</v>
      </c>
    </row>
    <row r="21" spans="1:118">
      <c r="A21" s="19">
        <v>10</v>
      </c>
      <c r="B21" s="19">
        <f ca="1">Jaargegevens!A23</f>
        <v>2034</v>
      </c>
      <c r="C21" s="20" t="str">
        <f ca="1">IF(A21&gt;Calculator!$R$96,"Nee",IF(H20&lt;K21,"Ja","Nee"))</f>
        <v>Ja</v>
      </c>
      <c r="D21" s="23">
        <f ca="1">Jaargegevens!D23</f>
        <v>2.5000000000000001E-2</v>
      </c>
      <c r="F21" s="212">
        <f ca="1">Cycli!Q19</f>
        <v>1.5</v>
      </c>
      <c r="G21" s="20">
        <f t="shared" ca="1" si="58"/>
        <v>547.5</v>
      </c>
      <c r="H21" s="20">
        <f ca="1">SUM(G$12:G21)</f>
        <v>4974</v>
      </c>
      <c r="I21" s="25">
        <f>Calculator!$R$94</f>
        <v>0.96</v>
      </c>
      <c r="K21" s="24">
        <f t="shared" si="59"/>
        <v>10000</v>
      </c>
      <c r="L21" s="25">
        <f>Calculator!$R$100</f>
        <v>0.7</v>
      </c>
      <c r="M21" s="169">
        <f ca="1">Degradatie!F25</f>
        <v>1.9355643606859301E-2</v>
      </c>
      <c r="N21" s="169">
        <f ca="1">SUM(M$10:M21)</f>
        <v>0.20604485105355944</v>
      </c>
      <c r="O21" s="170"/>
      <c r="P21" s="169">
        <f t="shared" ca="1" si="60"/>
        <v>0.80363297074987017</v>
      </c>
      <c r="Q21" s="26">
        <f ca="1">P21*Calculator!$R$92</f>
        <v>17.559380410884664</v>
      </c>
      <c r="R21" s="20">
        <f t="shared" ca="1" si="16"/>
        <v>9613.7607749593535</v>
      </c>
      <c r="S21" s="20">
        <f ca="1">SUM(R$12:R21)</f>
        <v>96929.834914883279</v>
      </c>
      <c r="U21" s="27">
        <f t="shared" ca="1" si="61"/>
        <v>226.69029576752882</v>
      </c>
      <c r="V21" s="27">
        <f ca="1">IF(Calculator!$R$73&gt;0,(Jaargegevens!L23+Jaargegevens!M23)*12,Jaargegevens!L23*12)</f>
        <v>181.29170515987954</v>
      </c>
      <c r="X21" s="74">
        <f t="shared" ca="1" si="17"/>
        <v>7.2057651870030021E-2</v>
      </c>
      <c r="Y21" s="74">
        <f ca="1">Jaargegevens!F23</f>
        <v>0.11046</v>
      </c>
      <c r="Z21" s="74">
        <f t="shared" ca="1" si="18"/>
        <v>0.18251765187003002</v>
      </c>
      <c r="AA21" s="74">
        <f ca="1">IF(Calculator!$R$25="Dynamisch",Opbrengsten!Z21,AA20*(1+D20))</f>
        <v>0.18916079419853876</v>
      </c>
      <c r="AB21" s="74">
        <f ca="1">IF(Calculator!$R$25="Dynamisch",0,AB20*(1+D20))</f>
        <v>0.17655007458530289</v>
      </c>
      <c r="AC21" s="75"/>
      <c r="AD21" s="74">
        <f ca="1">Jaargegevens!O23+Jaargegevens!P23</f>
        <v>3.2610719613235917E-2</v>
      </c>
      <c r="AE21" s="74">
        <f t="shared" ca="1" si="19"/>
        <v>0.11046</v>
      </c>
      <c r="AF21" s="74">
        <f t="shared" ca="1" si="20"/>
        <v>0.14307071961323592</v>
      </c>
      <c r="AG21" s="75"/>
      <c r="AH21" s="74">
        <f ca="1">Jaargegevens!R23</f>
        <v>0.18916079419853876</v>
      </c>
      <c r="AI21" s="74">
        <f t="shared" ca="1" si="0"/>
        <v>0.11046</v>
      </c>
      <c r="AJ21" s="74">
        <f t="shared" ca="1" si="21"/>
        <v>0.29962079419853876</v>
      </c>
      <c r="AL21" s="74">
        <f t="shared" ca="1" si="22"/>
        <v>0.11088575690588734</v>
      </c>
      <c r="AM21" s="74">
        <f t="shared" ca="1" si="23"/>
        <v>0.11046</v>
      </c>
      <c r="AN21" s="74">
        <f t="shared" ca="1" si="24"/>
        <v>0.22134575690588734</v>
      </c>
      <c r="AP21" s="20">
        <f>Calculator!$R$38</f>
        <v>4500</v>
      </c>
      <c r="AQ21" s="20">
        <f t="shared" ca="1" si="25"/>
        <v>0</v>
      </c>
      <c r="AR21" s="20">
        <f t="shared" ca="1" si="26"/>
        <v>4500</v>
      </c>
      <c r="AT21" s="20">
        <f ca="1">MIN(MAX(0,-Jaargegevens!U23),365)</f>
        <v>0</v>
      </c>
      <c r="AU21" s="20">
        <f ca="1">MAX(0,(Opbrengsten!AT21/365)*Calculator!$R$71)</f>
        <v>0</v>
      </c>
      <c r="AV21" s="26">
        <f ca="1">Jaargegevens!X23</f>
        <v>3.5</v>
      </c>
      <c r="AW21" s="20">
        <f t="shared" ca="1" si="27"/>
        <v>0</v>
      </c>
      <c r="AY21" s="20">
        <f t="shared" ca="1" si="1"/>
        <v>3500</v>
      </c>
      <c r="AZ21" s="20">
        <f>Calculator!$R$34</f>
        <v>3500</v>
      </c>
      <c r="BA21" s="97">
        <f>Calculator!$V$36</f>
        <v>0.2857142857142857</v>
      </c>
      <c r="BB21" s="96">
        <f>Calculator!$R$36</f>
        <v>1000</v>
      </c>
      <c r="BC21" s="214">
        <f ca="1">MIN(Calculator!$R$32,R21)</f>
        <v>2500</v>
      </c>
      <c r="BD21" s="20">
        <f t="shared" ca="1" si="28"/>
        <v>4500</v>
      </c>
      <c r="BE21" s="214">
        <f t="shared" ca="1" si="29"/>
        <v>3500</v>
      </c>
      <c r="BG21" s="28">
        <f t="shared" ca="1" si="30"/>
        <v>2500</v>
      </c>
      <c r="BH21" s="28">
        <f t="shared" ca="1" si="2"/>
        <v>9613.7607749593535</v>
      </c>
      <c r="BI21" s="28">
        <f t="shared" ca="1" si="31"/>
        <v>2500</v>
      </c>
      <c r="BJ21" s="74">
        <f ca="1">IF(B21&lt;=Jaargegevens!$M$7,Calculator!$S$49,AH21+Jaargegevens!S23+Jaargegevens!J23)</f>
        <v>0.18916079419853876</v>
      </c>
      <c r="BL21" s="20" t="str">
        <f ca="1">IF(Calculator!$R$118&lt;=B21,Keuzemenu!$I$18,Keuzemenu!$I$17)</f>
        <v>Ja</v>
      </c>
      <c r="BM21" s="76">
        <f ca="1">Jaargegevens!AB23</f>
        <v>14</v>
      </c>
      <c r="BN21" s="26">
        <f ca="1">IF(Calculator!R$102/4&lt;Q21,Calculator!R$102*(BM21/60),Q21)</f>
        <v>2.3333333333333335</v>
      </c>
      <c r="BO21" s="20">
        <f t="shared" ca="1" si="32"/>
        <v>81760</v>
      </c>
      <c r="BP21" s="20">
        <f t="shared" ca="1" si="33"/>
        <v>3613.7607749593535</v>
      </c>
      <c r="BQ21" s="20">
        <f t="shared" ca="1" si="34"/>
        <v>3613.7607749593535</v>
      </c>
      <c r="BR21" s="77">
        <f t="shared" ca="1" si="3"/>
        <v>0.14307071961323592</v>
      </c>
      <c r="BS21" s="74">
        <f ca="1">Jaargegevens!R23+Jaargegevens!AD23+Jaargegevens!J23</f>
        <v>0.38916079419853877</v>
      </c>
      <c r="BT21" s="74">
        <f t="shared" ca="1" si="35"/>
        <v>0.24609007458530285</v>
      </c>
      <c r="BU21" s="29">
        <f ca="1">Jaargegevens!AF23</f>
        <v>0.85</v>
      </c>
      <c r="BV21" s="74">
        <f t="shared" ca="1" si="36"/>
        <v>0.20917656339750743</v>
      </c>
      <c r="BW21" s="30"/>
      <c r="BX21" s="31">
        <f t="shared" ca="1" si="4"/>
        <v>-135.45684449978776</v>
      </c>
      <c r="BY21" s="31">
        <f t="shared" ca="1" si="37"/>
        <v>547.92526104855995</v>
      </c>
      <c r="BZ21" s="31">
        <f t="shared" ca="1" si="38"/>
        <v>472.90198549634692</v>
      </c>
      <c r="CA21" s="32">
        <f t="shared" ca="1" si="39"/>
        <v>755.91405984671076</v>
      </c>
      <c r="CB21" s="32">
        <f t="shared" ca="1" si="40"/>
        <v>0</v>
      </c>
      <c r="CC21" s="32">
        <f t="shared" ca="1" si="41"/>
        <v>45.398590607649282</v>
      </c>
      <c r="CD21" s="33">
        <f t="shared" ca="1" si="42"/>
        <v>1687</v>
      </c>
      <c r="CE21" s="33">
        <f ca="1">IF(CD21&lt;&gt;"",SUM(CD$12:CD21),"")</f>
        <v>16168</v>
      </c>
      <c r="CH21" s="78">
        <f t="shared" ca="1" si="5"/>
        <v>9613.7607749593535</v>
      </c>
      <c r="CI21" s="78">
        <f t="shared" ca="1" si="43"/>
        <v>2500</v>
      </c>
      <c r="CJ21" s="78">
        <f t="shared" ca="1" si="44"/>
        <v>7113.7607749593535</v>
      </c>
      <c r="CK21" s="78">
        <f ca="1">Jaargegevens!G23</f>
        <v>10000</v>
      </c>
      <c r="CL21" s="78">
        <f t="shared" ca="1" si="45"/>
        <v>0</v>
      </c>
      <c r="CM21" s="79">
        <f ca="1">Jaargegevens!F23-Jaargegevens!H23</f>
        <v>2.6520000000000002E-2</v>
      </c>
      <c r="CN21" s="33">
        <f t="shared" ca="1" si="46"/>
        <v>0</v>
      </c>
      <c r="CO21" s="33"/>
      <c r="CP21" s="78">
        <f t="shared" ca="1" si="6"/>
        <v>9613.7607749593535</v>
      </c>
      <c r="CQ21" s="78">
        <f t="shared" ca="1" si="7"/>
        <v>2500</v>
      </c>
      <c r="CR21" s="78">
        <f t="shared" ca="1" si="8"/>
        <v>7113.7607749593535</v>
      </c>
      <c r="CS21" s="79">
        <f t="shared" ca="1" si="9"/>
        <v>0.14307071961323592</v>
      </c>
      <c r="CT21" s="33">
        <f t="shared" ca="1" si="47"/>
        <v>1017.7708732298455</v>
      </c>
      <c r="CU21" s="78"/>
      <c r="CV21" s="78">
        <f t="shared" ca="1" si="48"/>
        <v>9613.7607749593535</v>
      </c>
      <c r="CW21" s="78">
        <f t="shared" ca="1" si="10"/>
        <v>384.55043099837451</v>
      </c>
      <c r="CX21" s="78">
        <f t="shared" ca="1" si="49"/>
        <v>9229.2103439609782</v>
      </c>
      <c r="CY21" s="78">
        <f t="shared" ca="1" si="11"/>
        <v>3500</v>
      </c>
      <c r="CZ21" s="79">
        <f t="shared" ca="1" si="12"/>
        <v>0.29962079419853876</v>
      </c>
      <c r="DA21" s="33">
        <f t="shared" ca="1" si="50"/>
        <v>1048.6727796948858</v>
      </c>
      <c r="DB21" s="78">
        <f t="shared" ca="1" si="13"/>
        <v>2500</v>
      </c>
      <c r="DC21" s="79">
        <f t="shared" ca="1" si="14"/>
        <v>0.18916079419853876</v>
      </c>
      <c r="DD21" s="33">
        <f t="shared" ca="1" si="51"/>
        <v>472.90198549634692</v>
      </c>
      <c r="DE21" s="78">
        <f t="shared" ca="1" si="52"/>
        <v>3229.2103439609782</v>
      </c>
      <c r="DF21" s="79">
        <f t="shared" ca="1" si="15"/>
        <v>0.35224728301074337</v>
      </c>
      <c r="DG21" s="33">
        <f t="shared" ca="1" si="53"/>
        <v>1137.4805699304427</v>
      </c>
      <c r="DH21" s="33">
        <f t="shared" ca="1" si="54"/>
        <v>2659.0553351216754</v>
      </c>
      <c r="DJ21" s="32">
        <f t="shared" ca="1" si="55"/>
        <v>1641.2844618918298</v>
      </c>
      <c r="DK21" s="32">
        <f t="shared" ca="1" si="56"/>
        <v>0</v>
      </c>
      <c r="DL21" s="32">
        <f t="shared" ca="1" si="57"/>
        <v>45.398590607649282</v>
      </c>
      <c r="DM21" s="32"/>
      <c r="DN21" s="33">
        <f t="shared" ca="1" si="62"/>
        <v>1687</v>
      </c>
    </row>
    <row r="22" spans="1:118">
      <c r="A22" s="19">
        <v>11</v>
      </c>
      <c r="B22" s="19">
        <f ca="1">Jaargegevens!A24</f>
        <v>2035</v>
      </c>
      <c r="C22" s="20" t="str">
        <f>IF(A22&gt;Calculator!$R$96,"Nee",IF(H21&lt;K22,"Ja","Nee"))</f>
        <v>Nee</v>
      </c>
      <c r="D22" s="23">
        <f ca="1">Jaargegevens!D24</f>
        <v>2.5000000000000001E-2</v>
      </c>
      <c r="F22" s="212">
        <f ca="1">Cycli!Q20</f>
        <v>1.5</v>
      </c>
      <c r="G22" s="20">
        <f t="shared" ca="1" si="58"/>
        <v>547.5</v>
      </c>
      <c r="H22" s="20">
        <f ca="1">SUM(G$12:G22)</f>
        <v>5521.5</v>
      </c>
      <c r="I22" s="25">
        <f>Calculator!$R$94</f>
        <v>0.96</v>
      </c>
      <c r="K22" s="24">
        <f t="shared" si="59"/>
        <v>10000</v>
      </c>
      <c r="L22" s="25">
        <f>Calculator!$R$100</f>
        <v>0.7</v>
      </c>
      <c r="M22" s="169">
        <f ca="1">Degradatie!F26</f>
        <v>1.8309198164497831E-2</v>
      </c>
      <c r="N22" s="169">
        <f ca="1">SUM(M$10:M22)</f>
        <v>0.22435404921805727</v>
      </c>
      <c r="O22" s="170"/>
      <c r="P22" s="169">
        <f t="shared" ca="1" si="60"/>
        <v>0.78480054986419168</v>
      </c>
      <c r="Q22" s="26">
        <f ca="1">P22*Calculator!$R$92</f>
        <v>17.147892014532591</v>
      </c>
      <c r="R22" s="20">
        <f ca="1">Q22*G22</f>
        <v>9388.4708779565935</v>
      </c>
      <c r="S22" s="20">
        <f ca="1">SUM(R$12:R22)</f>
        <v>106318.30579283988</v>
      </c>
      <c r="U22" s="27">
        <f t="shared" ca="1" si="61"/>
        <v>232.35755316171702</v>
      </c>
      <c r="V22" s="27">
        <f ca="1">IF(Calculator!$R$73&gt;0,(Jaargegevens!L24+Jaargegevens!M24)*12,Jaargegevens!L24*12)</f>
        <v>185.82399778887654</v>
      </c>
      <c r="X22" s="74">
        <f t="shared" ca="1" si="17"/>
        <v>7.385909316678077E-2</v>
      </c>
      <c r="Y22" s="74">
        <f ca="1">Jaargegevens!F24</f>
        <v>0.11046</v>
      </c>
      <c r="Z22" s="74">
        <f t="shared" ca="1" si="18"/>
        <v>0.18431909316678077</v>
      </c>
      <c r="AA22" s="74">
        <f ca="1">IF(Calculator!$R$25="Dynamisch",Opbrengsten!Z22,AA21*(1+D21))</f>
        <v>0.19388981405350222</v>
      </c>
      <c r="AB22" s="74">
        <f ca="1">IF(Calculator!$R$25="Dynamisch",0,AB21*(1+D21))</f>
        <v>0.18096382644993544</v>
      </c>
      <c r="AC22" s="75"/>
      <c r="AD22" s="74">
        <f ca="1">Jaargegevens!O24+Jaargegevens!P24</f>
        <v>3.2925987603566811E-2</v>
      </c>
      <c r="AE22" s="74">
        <f t="shared" ca="1" si="19"/>
        <v>0.11046</v>
      </c>
      <c r="AF22" s="74">
        <f t="shared" ca="1" si="20"/>
        <v>0.1433859876035668</v>
      </c>
      <c r="AG22" s="75"/>
      <c r="AH22" s="74">
        <f ca="1">Jaargegevens!R24</f>
        <v>0.19388981405350222</v>
      </c>
      <c r="AI22" s="74">
        <f t="shared" ca="1" si="0"/>
        <v>0.11046</v>
      </c>
      <c r="AJ22" s="74">
        <f t="shared" ca="1" si="21"/>
        <v>0.30434981405350225</v>
      </c>
      <c r="AL22" s="74">
        <f t="shared" ca="1" si="22"/>
        <v>0.11340790082853452</v>
      </c>
      <c r="AM22" s="74">
        <f t="shared" ca="1" si="23"/>
        <v>0.11046</v>
      </c>
      <c r="AN22" s="74">
        <f t="shared" ca="1" si="24"/>
        <v>0.22386790082853453</v>
      </c>
      <c r="AP22" s="20">
        <f>Calculator!$R$38</f>
        <v>4500</v>
      </c>
      <c r="AQ22" s="20">
        <f t="shared" ca="1" si="25"/>
        <v>0</v>
      </c>
      <c r="AR22" s="20">
        <f t="shared" ca="1" si="26"/>
        <v>4500</v>
      </c>
      <c r="AT22" s="20">
        <f ca="1">MIN(MAX(0,-Jaargegevens!U24),365)</f>
        <v>0</v>
      </c>
      <c r="AU22" s="20">
        <f ca="1">MAX(0,(Opbrengsten!AT22/365)*Calculator!$R$71)</f>
        <v>0</v>
      </c>
      <c r="AV22" s="26">
        <f ca="1">Jaargegevens!X24</f>
        <v>3.5</v>
      </c>
      <c r="AW22" s="20">
        <f t="shared" ca="1" si="27"/>
        <v>0</v>
      </c>
      <c r="AY22" s="20">
        <f t="shared" ca="1" si="1"/>
        <v>3500</v>
      </c>
      <c r="AZ22" s="20">
        <f>Calculator!$R$34</f>
        <v>3500</v>
      </c>
      <c r="BA22" s="97">
        <f>Calculator!$V$36</f>
        <v>0.2857142857142857</v>
      </c>
      <c r="BB22" s="96">
        <f>Calculator!$R$36</f>
        <v>1000</v>
      </c>
      <c r="BC22" s="214">
        <f ca="1">MIN(Calculator!$R$32,R22)</f>
        <v>2500</v>
      </c>
      <c r="BD22" s="20">
        <f t="shared" ca="1" si="28"/>
        <v>4500</v>
      </c>
      <c r="BE22" s="214">
        <f t="shared" ca="1" si="29"/>
        <v>3500</v>
      </c>
      <c r="BG22" s="28">
        <f t="shared" ca="1" si="30"/>
        <v>2500</v>
      </c>
      <c r="BH22" s="28">
        <f t="shared" ca="1" si="2"/>
        <v>9388.4708779565935</v>
      </c>
      <c r="BI22" s="28">
        <f t="shared" ca="1" si="31"/>
        <v>2500</v>
      </c>
      <c r="BJ22" s="74">
        <f ca="1">IF(B22&lt;=Jaargegevens!$M$7,Calculator!$S$49,AH22+Jaargegevens!S24+Jaargegevens!J24)</f>
        <v>0.19388981405350222</v>
      </c>
      <c r="BL22" s="20" t="str">
        <f ca="1">IF(Calculator!$R$118&lt;=B22,Keuzemenu!$I$18,Keuzemenu!$I$17)</f>
        <v>Ja</v>
      </c>
      <c r="BM22" s="76">
        <f ca="1">Jaargegevens!AB24</f>
        <v>14</v>
      </c>
      <c r="BN22" s="26">
        <f ca="1">IF(Calculator!R$102/4&lt;Q22,Calculator!R$102*(BM22/60),Q22)</f>
        <v>2.3333333333333335</v>
      </c>
      <c r="BO22" s="20">
        <f t="shared" ca="1" si="32"/>
        <v>81760</v>
      </c>
      <c r="BP22" s="20">
        <f t="shared" ca="1" si="33"/>
        <v>3388.4708779565935</v>
      </c>
      <c r="BQ22" s="20">
        <f t="shared" ca="1" si="34"/>
        <v>3388.4708779565935</v>
      </c>
      <c r="BR22" s="77">
        <f t="shared" ca="1" si="3"/>
        <v>0.1433859876035668</v>
      </c>
      <c r="BS22" s="74">
        <f ca="1">Jaargegevens!R24+Jaargegevens!AD24+Jaargegevens!J24</f>
        <v>0.39388981405350221</v>
      </c>
      <c r="BT22" s="74">
        <f t="shared" ca="1" si="35"/>
        <v>0.25050382644993541</v>
      </c>
      <c r="BU22" s="29">
        <f ca="1">Jaargegevens!AF24</f>
        <v>0.85</v>
      </c>
      <c r="BV22" s="74">
        <f t="shared" ca="1" si="36"/>
        <v>0.2129282524824451</v>
      </c>
      <c r="BW22" s="30"/>
      <c r="BX22" s="31">
        <f t="shared" ca="1" si="4"/>
        <v>-133.80983465795038</v>
      </c>
      <c r="BY22" s="31">
        <f t="shared" ca="1" si="37"/>
        <v>563.37339257477413</v>
      </c>
      <c r="BZ22" s="31">
        <f t="shared" ca="1" si="38"/>
        <v>484.72453513375558</v>
      </c>
      <c r="CA22" s="32">
        <f t="shared" ca="1" si="39"/>
        <v>721.50118263095396</v>
      </c>
      <c r="CB22" s="32">
        <f t="shared" ca="1" si="40"/>
        <v>0</v>
      </c>
      <c r="CC22" s="32">
        <f t="shared" ca="1" si="41"/>
        <v>46.533555372840482</v>
      </c>
      <c r="CD22" s="33">
        <f t="shared" ca="1" si="42"/>
        <v>1682</v>
      </c>
      <c r="CE22" s="33">
        <f ca="1">IF(CD22&lt;&gt;"",SUM(CD$12:CD22),"")</f>
        <v>17850</v>
      </c>
      <c r="CH22" s="78">
        <f t="shared" ca="1" si="5"/>
        <v>9388.4708779565935</v>
      </c>
      <c r="CI22" s="78">
        <f t="shared" ca="1" si="43"/>
        <v>2500</v>
      </c>
      <c r="CJ22" s="78">
        <f t="shared" ca="1" si="44"/>
        <v>6888.4708779565935</v>
      </c>
      <c r="CK22" s="78">
        <f ca="1">Jaargegevens!G24</f>
        <v>10000</v>
      </c>
      <c r="CL22" s="78">
        <f t="shared" ca="1" si="45"/>
        <v>0</v>
      </c>
      <c r="CM22" s="79">
        <f ca="1">Jaargegevens!F24-Jaargegevens!H24</f>
        <v>2.6520000000000002E-2</v>
      </c>
      <c r="CN22" s="33">
        <f t="shared" ca="1" si="46"/>
        <v>0</v>
      </c>
      <c r="CO22" s="33"/>
      <c r="CP22" s="78">
        <f t="shared" ca="1" si="6"/>
        <v>9388.4708779565935</v>
      </c>
      <c r="CQ22" s="78">
        <f t="shared" ca="1" si="7"/>
        <v>2500</v>
      </c>
      <c r="CR22" s="78">
        <f t="shared" ca="1" si="8"/>
        <v>6888.4708779565935</v>
      </c>
      <c r="CS22" s="79">
        <f t="shared" ca="1" si="9"/>
        <v>0.1433859876035668</v>
      </c>
      <c r="CT22" s="33">
        <f t="shared" ca="1" si="47"/>
        <v>987.71019991421508</v>
      </c>
      <c r="CU22" s="78"/>
      <c r="CV22" s="78">
        <f t="shared" ca="1" si="48"/>
        <v>9388.4708779565935</v>
      </c>
      <c r="CW22" s="78">
        <f t="shared" ca="1" si="10"/>
        <v>375.5388351182641</v>
      </c>
      <c r="CX22" s="78">
        <f t="shared" ca="1" si="49"/>
        <v>9012.9320428383289</v>
      </c>
      <c r="CY22" s="78">
        <f t="shared" ca="1" si="11"/>
        <v>3500</v>
      </c>
      <c r="CZ22" s="79">
        <f t="shared" ca="1" si="12"/>
        <v>0.30434981405350225</v>
      </c>
      <c r="DA22" s="33">
        <f t="shared" ca="1" si="50"/>
        <v>1065.224349187258</v>
      </c>
      <c r="DB22" s="78">
        <f t="shared" ca="1" si="13"/>
        <v>2500</v>
      </c>
      <c r="DC22" s="79">
        <f t="shared" ca="1" si="14"/>
        <v>0.19388981405350222</v>
      </c>
      <c r="DD22" s="33">
        <f t="shared" ca="1" si="51"/>
        <v>484.72453513375558</v>
      </c>
      <c r="DE22" s="78">
        <f t="shared" ca="1" si="52"/>
        <v>3012.9320428383289</v>
      </c>
      <c r="DF22" s="79">
        <f t="shared" ca="1" si="15"/>
        <v>0.35631424008601187</v>
      </c>
      <c r="DG22" s="33">
        <f t="shared" ca="1" si="53"/>
        <v>1073.5505912747344</v>
      </c>
      <c r="DH22" s="33">
        <f t="shared" ca="1" si="54"/>
        <v>2623.4994755957478</v>
      </c>
      <c r="DJ22" s="32">
        <f t="shared" ca="1" si="55"/>
        <v>1635.7892756815327</v>
      </c>
      <c r="DK22" s="32">
        <f t="shared" ca="1" si="56"/>
        <v>0</v>
      </c>
      <c r="DL22" s="32">
        <f t="shared" ca="1" si="57"/>
        <v>46.533555372840482</v>
      </c>
      <c r="DM22" s="32"/>
      <c r="DN22" s="33">
        <f t="shared" ca="1" si="62"/>
        <v>1682</v>
      </c>
    </row>
    <row r="23" spans="1:118">
      <c r="A23" s="19">
        <v>12</v>
      </c>
      <c r="B23" s="19">
        <f ca="1">Jaargegevens!A25</f>
        <v>2036</v>
      </c>
      <c r="C23" s="20" t="str">
        <f>IF(A23&gt;Calculator!$R$96,"Nee",IF(H22&lt;K23,"Ja","Nee"))</f>
        <v>Nee</v>
      </c>
      <c r="D23" s="23">
        <f ca="1">Jaargegevens!D25</f>
        <v>2.5000000000000001E-2</v>
      </c>
      <c r="F23" s="212">
        <f ca="1">Cycli!Q21</f>
        <v>1.5</v>
      </c>
      <c r="G23" s="20">
        <f t="shared" ca="1" si="58"/>
        <v>547.5</v>
      </c>
      <c r="H23" s="20">
        <f ca="1">SUM(G$12:G23)</f>
        <v>6069</v>
      </c>
      <c r="I23" s="25">
        <f>Calculator!$R$94</f>
        <v>0.96</v>
      </c>
      <c r="K23" s="24">
        <f t="shared" si="59"/>
        <v>10000</v>
      </c>
      <c r="L23" s="25">
        <f>Calculator!$R$100</f>
        <v>0.7</v>
      </c>
      <c r="M23" s="169">
        <f ca="1">Degradatie!F27</f>
        <v>1.718160412698028E-2</v>
      </c>
      <c r="N23" s="169">
        <f ca="1">SUM(M$10:M23)</f>
        <v>0.24153565334503754</v>
      </c>
      <c r="O23" s="170"/>
      <c r="P23" s="169">
        <f t="shared" ca="1" si="60"/>
        <v>0.7670551487184526</v>
      </c>
      <c r="Q23" s="26">
        <f ca="1">P23*Calculator!$R$92</f>
        <v>16.760154999498191</v>
      </c>
      <c r="R23" s="20">
        <f t="shared" ca="1" si="16"/>
        <v>9176.1848622252601</v>
      </c>
      <c r="S23" s="20">
        <f ca="1">SUM(R$12:R23)</f>
        <v>115494.49065506514</v>
      </c>
      <c r="U23" s="27">
        <f t="shared" ca="1" si="61"/>
        <v>238.16649199075994</v>
      </c>
      <c r="V23" s="27">
        <f ca="1">IF(Calculator!$R$73&gt;0,(Jaargegevens!L25+Jaargegevens!M25)*12,Jaargegevens!L25*12)</f>
        <v>190.46959773359842</v>
      </c>
      <c r="X23" s="74">
        <f t="shared" ca="1" si="17"/>
        <v>7.5705570495950281E-2</v>
      </c>
      <c r="Y23" s="74">
        <f ca="1">Jaargegevens!F25</f>
        <v>0.11046</v>
      </c>
      <c r="Z23" s="74">
        <f t="shared" ca="1" si="18"/>
        <v>0.18616557049595028</v>
      </c>
      <c r="AA23" s="74">
        <f ca="1">IF(Calculator!$R$25="Dynamisch",Opbrengsten!Z23,AA22*(1+D22))</f>
        <v>0.19873705940483977</v>
      </c>
      <c r="AB23" s="74">
        <f ca="1">IF(Calculator!$R$25="Dynamisch",0,AB22*(1+D22))</f>
        <v>0.18548792211118381</v>
      </c>
      <c r="AC23" s="75"/>
      <c r="AD23" s="74">
        <f ca="1">Jaargegevens!O25+Jaargegevens!P25</f>
        <v>3.3249137293655986E-2</v>
      </c>
      <c r="AE23" s="74">
        <f t="shared" ca="1" si="19"/>
        <v>0.11046</v>
      </c>
      <c r="AF23" s="74">
        <f t="shared" ca="1" si="20"/>
        <v>0.14370913729365598</v>
      </c>
      <c r="AG23" s="75"/>
      <c r="AH23" s="74">
        <f ca="1">Jaargegevens!R25</f>
        <v>0.19873705940483977</v>
      </c>
      <c r="AI23" s="74">
        <f t="shared" ca="1" si="0"/>
        <v>0.11046</v>
      </c>
      <c r="AJ23" s="74">
        <f t="shared" ca="1" si="21"/>
        <v>0.30919705940483977</v>
      </c>
      <c r="AL23" s="74">
        <f t="shared" ca="1" si="22"/>
        <v>0.11599309834924787</v>
      </c>
      <c r="AM23" s="74">
        <f t="shared" ca="1" si="23"/>
        <v>0.11046</v>
      </c>
      <c r="AN23" s="74">
        <f t="shared" ca="1" si="24"/>
        <v>0.22645309834924787</v>
      </c>
      <c r="AP23" s="20">
        <f>Calculator!$R$38</f>
        <v>4500</v>
      </c>
      <c r="AQ23" s="20">
        <f t="shared" ca="1" si="25"/>
        <v>0</v>
      </c>
      <c r="AR23" s="20">
        <f t="shared" ca="1" si="26"/>
        <v>4500</v>
      </c>
      <c r="AT23" s="20">
        <f ca="1">MIN(MAX(0,-Jaargegevens!U25),365)</f>
        <v>0</v>
      </c>
      <c r="AU23" s="20">
        <f ca="1">MAX(0,(Opbrengsten!AT23/365)*Calculator!$R$71)</f>
        <v>0</v>
      </c>
      <c r="AV23" s="26">
        <f ca="1">Jaargegevens!X25</f>
        <v>3.5</v>
      </c>
      <c r="AW23" s="20">
        <f t="shared" ca="1" si="27"/>
        <v>0</v>
      </c>
      <c r="AY23" s="20">
        <f t="shared" ca="1" si="1"/>
        <v>3500</v>
      </c>
      <c r="AZ23" s="20">
        <f>Calculator!$R$34</f>
        <v>3500</v>
      </c>
      <c r="BA23" s="97">
        <f>Calculator!$V$36</f>
        <v>0.2857142857142857</v>
      </c>
      <c r="BB23" s="96">
        <f>Calculator!$R$36</f>
        <v>1000</v>
      </c>
      <c r="BC23" s="214">
        <f ca="1">MIN(Calculator!$R$32,R23)</f>
        <v>2500</v>
      </c>
      <c r="BD23" s="20">
        <f t="shared" ca="1" si="28"/>
        <v>4500</v>
      </c>
      <c r="BE23" s="214">
        <f t="shared" ca="1" si="29"/>
        <v>3500</v>
      </c>
      <c r="BG23" s="28">
        <f t="shared" ca="1" si="30"/>
        <v>2500</v>
      </c>
      <c r="BH23" s="28">
        <f t="shared" ca="1" si="2"/>
        <v>9176.1848622252601</v>
      </c>
      <c r="BI23" s="28">
        <f t="shared" ca="1" si="31"/>
        <v>2500</v>
      </c>
      <c r="BJ23" s="74">
        <f ca="1">IF(B23&lt;=Jaargegevens!$M$7,Calculator!$S$49,AH23+Jaargegevens!S25+Jaargegevens!J25)</f>
        <v>0.19873705940483977</v>
      </c>
      <c r="BL23" s="20" t="str">
        <f ca="1">IF(Calculator!$R$118&lt;=B23,Keuzemenu!$I$18,Keuzemenu!$I$17)</f>
        <v>Ja</v>
      </c>
      <c r="BM23" s="76">
        <f ca="1">Jaargegevens!AB25</f>
        <v>14</v>
      </c>
      <c r="BN23" s="26">
        <f ca="1">IF(Calculator!R$102/4&lt;Q23,Calculator!R$102*(BM23/60),Q23)</f>
        <v>2.3333333333333335</v>
      </c>
      <c r="BO23" s="20">
        <f t="shared" ca="1" si="32"/>
        <v>81760</v>
      </c>
      <c r="BP23" s="20">
        <f t="shared" ca="1" si="33"/>
        <v>3176.1848622252601</v>
      </c>
      <c r="BQ23" s="20">
        <f t="shared" ca="1" si="34"/>
        <v>3176.1848622252601</v>
      </c>
      <c r="BR23" s="77">
        <f t="shared" ca="1" si="3"/>
        <v>0.14370913729365598</v>
      </c>
      <c r="BS23" s="74">
        <f ca="1">Jaargegevens!R25+Jaargegevens!AD25+Jaargegevens!J25</f>
        <v>0.39873705940483978</v>
      </c>
      <c r="BT23" s="74">
        <f t="shared" ca="1" si="35"/>
        <v>0.2550279221111838</v>
      </c>
      <c r="BU23" s="29">
        <f ca="1">Jaargegevens!AF25</f>
        <v>0.85</v>
      </c>
      <c r="BV23" s="74">
        <f t="shared" ca="1" si="36"/>
        <v>0.21677373379450623</v>
      </c>
      <c r="BW23" s="30"/>
      <c r="BX23" s="31">
        <f t="shared" ca="1" si="4"/>
        <v>-132.31429859082789</v>
      </c>
      <c r="BY23" s="31">
        <f t="shared" ca="1" si="37"/>
        <v>579.20772738914332</v>
      </c>
      <c r="BZ23" s="31">
        <f t="shared" ca="1" si="38"/>
        <v>496.8426485120994</v>
      </c>
      <c r="CA23" s="32">
        <f t="shared" ca="1" si="39"/>
        <v>688.51345180615897</v>
      </c>
      <c r="CB23" s="32">
        <f t="shared" ca="1" si="40"/>
        <v>0</v>
      </c>
      <c r="CC23" s="32">
        <f t="shared" ca="1" si="41"/>
        <v>47.696894257161517</v>
      </c>
      <c r="CD23" s="33">
        <f t="shared" ca="1" si="42"/>
        <v>1680</v>
      </c>
      <c r="CE23" s="33">
        <f ca="1">IF(CD23&lt;&gt;"",SUM(CD$12:CD23),"")</f>
        <v>19530</v>
      </c>
      <c r="CH23" s="78">
        <f t="shared" ca="1" si="5"/>
        <v>9176.1848622252601</v>
      </c>
      <c r="CI23" s="78">
        <f t="shared" ca="1" si="43"/>
        <v>2500</v>
      </c>
      <c r="CJ23" s="78">
        <f t="shared" ca="1" si="44"/>
        <v>6676.1848622252601</v>
      </c>
      <c r="CK23" s="78">
        <f ca="1">Jaargegevens!G25</f>
        <v>10000</v>
      </c>
      <c r="CL23" s="78">
        <f t="shared" ca="1" si="45"/>
        <v>0</v>
      </c>
      <c r="CM23" s="79">
        <f ca="1">Jaargegevens!F25-Jaargegevens!H25</f>
        <v>2.6520000000000002E-2</v>
      </c>
      <c r="CN23" s="33">
        <f t="shared" ca="1" si="46"/>
        <v>0</v>
      </c>
      <c r="CO23" s="33"/>
      <c r="CP23" s="78">
        <f t="shared" ca="1" si="6"/>
        <v>9176.1848622252601</v>
      </c>
      <c r="CQ23" s="78">
        <f t="shared" ca="1" si="7"/>
        <v>2500</v>
      </c>
      <c r="CR23" s="78">
        <f t="shared" ca="1" si="8"/>
        <v>6676.1848622252601</v>
      </c>
      <c r="CS23" s="79">
        <f t="shared" ca="1" si="9"/>
        <v>0.14370913729365598</v>
      </c>
      <c r="CT23" s="33">
        <f t="shared" ca="1" si="47"/>
        <v>959.42876696335759</v>
      </c>
      <c r="CU23" s="78"/>
      <c r="CV23" s="78">
        <f t="shared" ca="1" si="48"/>
        <v>9176.1848622252601</v>
      </c>
      <c r="CW23" s="78">
        <f t="shared" ca="1" si="10"/>
        <v>367.04739448901074</v>
      </c>
      <c r="CX23" s="78">
        <f t="shared" ca="1" si="49"/>
        <v>8809.1374677362492</v>
      </c>
      <c r="CY23" s="78">
        <f t="shared" ca="1" si="11"/>
        <v>3500</v>
      </c>
      <c r="CZ23" s="79">
        <f t="shared" ca="1" si="12"/>
        <v>0.30919705940483977</v>
      </c>
      <c r="DA23" s="33">
        <f t="shared" ca="1" si="50"/>
        <v>1082.1897079169391</v>
      </c>
      <c r="DB23" s="78">
        <f t="shared" ca="1" si="13"/>
        <v>2500</v>
      </c>
      <c r="DC23" s="79">
        <f t="shared" ca="1" si="14"/>
        <v>0.19873705940483977</v>
      </c>
      <c r="DD23" s="33">
        <f t="shared" ca="1" si="51"/>
        <v>496.8426485120994</v>
      </c>
      <c r="DE23" s="78">
        <f t="shared" ca="1" si="52"/>
        <v>2809.1374677362492</v>
      </c>
      <c r="DF23" s="79">
        <f t="shared" ca="1" si="15"/>
        <v>0.36048287108816224</v>
      </c>
      <c r="DG23" s="33">
        <f t="shared" ca="1" si="53"/>
        <v>1012.6459396508928</v>
      </c>
      <c r="DH23" s="33">
        <f t="shared" ca="1" si="54"/>
        <v>2591.6782960799314</v>
      </c>
      <c r="DJ23" s="32">
        <f t="shared" ca="1" si="55"/>
        <v>1632.2495291165737</v>
      </c>
      <c r="DK23" s="32">
        <f t="shared" ca="1" si="56"/>
        <v>0</v>
      </c>
      <c r="DL23" s="32">
        <f t="shared" ca="1" si="57"/>
        <v>47.696894257161517</v>
      </c>
      <c r="DM23" s="32"/>
      <c r="DN23" s="33">
        <f t="shared" ca="1" si="62"/>
        <v>1680</v>
      </c>
    </row>
    <row r="24" spans="1:118">
      <c r="A24" s="19">
        <v>13</v>
      </c>
      <c r="B24" s="19">
        <f ca="1">Jaargegevens!A26</f>
        <v>2037</v>
      </c>
      <c r="C24" s="20" t="str">
        <f>IF(A24&gt;Calculator!$R$96,"Nee",IF(H23&lt;K24,"Ja","Nee"))</f>
        <v>Nee</v>
      </c>
      <c r="D24" s="23">
        <f ca="1">Jaargegevens!D26</f>
        <v>2.5000000000000001E-2</v>
      </c>
      <c r="F24" s="212">
        <f ca="1">Cycli!Q22</f>
        <v>1.5</v>
      </c>
      <c r="G24" s="20">
        <f t="shared" ca="1" si="58"/>
        <v>547.5</v>
      </c>
      <c r="H24" s="20">
        <f ca="1">SUM(G$12:G24)</f>
        <v>6616.5</v>
      </c>
      <c r="I24" s="25">
        <f>Calculator!$R$94</f>
        <v>0.96</v>
      </c>
      <c r="K24" s="24">
        <f t="shared" si="59"/>
        <v>10000</v>
      </c>
      <c r="L24" s="25">
        <f>Calculator!$R$100</f>
        <v>0.7</v>
      </c>
      <c r="M24" s="169">
        <f ca="1">Degradatie!F28</f>
        <v>1.5966568672694317E-2</v>
      </c>
      <c r="N24" s="169">
        <f ca="1">SUM(M$10:M24)</f>
        <v>0.25750222201773187</v>
      </c>
      <c r="O24" s="170"/>
      <c r="P24" s="169">
        <f t="shared" ca="1" si="60"/>
        <v>0.75048106231861533</v>
      </c>
      <c r="Q24" s="26">
        <f ca="1">P24*Calculator!$R$92</f>
        <v>16.398011211661746</v>
      </c>
      <c r="R24" s="20">
        <f t="shared" ca="1" si="16"/>
        <v>8977.9111383848067</v>
      </c>
      <c r="S24" s="20">
        <f ca="1">SUM(R$12:R24)</f>
        <v>124472.40179344994</v>
      </c>
      <c r="U24" s="27">
        <f t="shared" ca="1" si="61"/>
        <v>244.1206542905289</v>
      </c>
      <c r="V24" s="27">
        <f ca="1">IF(Calculator!$R$73&gt;0,(Jaargegevens!L26+Jaargegevens!M26)*12,Jaargegevens!L26*12)</f>
        <v>195.23133767693835</v>
      </c>
      <c r="X24" s="74">
        <f t="shared" ca="1" si="17"/>
        <v>7.7598209758349038E-2</v>
      </c>
      <c r="Y24" s="74">
        <f ca="1">Jaargegevens!F26</f>
        <v>0.11046</v>
      </c>
      <c r="Z24" s="74">
        <f t="shared" ca="1" si="18"/>
        <v>0.18805820975834903</v>
      </c>
      <c r="AA24" s="74">
        <f ca="1">IF(Calculator!$R$25="Dynamisch",Opbrengsten!Z24,AA23*(1+D23))</f>
        <v>0.20370548588996074</v>
      </c>
      <c r="AB24" s="74">
        <f ca="1">IF(Calculator!$R$25="Dynamisch",0,AB23*(1+D23))</f>
        <v>0.19012512016396338</v>
      </c>
      <c r="AC24" s="75"/>
      <c r="AD24" s="74">
        <f ca="1">Jaargegevens!O26+Jaargegevens!P26</f>
        <v>3.3580365725997381E-2</v>
      </c>
      <c r="AE24" s="74">
        <f t="shared" ca="1" si="19"/>
        <v>0.11046</v>
      </c>
      <c r="AF24" s="74">
        <f t="shared" ca="1" si="20"/>
        <v>0.14404036572599738</v>
      </c>
      <c r="AG24" s="75"/>
      <c r="AH24" s="74">
        <f ca="1">Jaargegevens!R26</f>
        <v>0.20370548588996074</v>
      </c>
      <c r="AI24" s="74">
        <f t="shared" ca="1" si="0"/>
        <v>0.11046</v>
      </c>
      <c r="AJ24" s="74">
        <f t="shared" ca="1" si="21"/>
        <v>0.31416548588996074</v>
      </c>
      <c r="AL24" s="74">
        <f t="shared" ca="1" si="22"/>
        <v>0.11864292580797905</v>
      </c>
      <c r="AM24" s="74">
        <f t="shared" ca="1" si="23"/>
        <v>0.11046</v>
      </c>
      <c r="AN24" s="74">
        <f t="shared" ca="1" si="24"/>
        <v>0.22910292580797906</v>
      </c>
      <c r="AP24" s="20">
        <f>Calculator!$R$38</f>
        <v>4500</v>
      </c>
      <c r="AQ24" s="20">
        <f t="shared" ca="1" si="25"/>
        <v>0</v>
      </c>
      <c r="AR24" s="20">
        <f t="shared" ca="1" si="26"/>
        <v>4500</v>
      </c>
      <c r="AT24" s="20">
        <f ca="1">MIN(MAX(0,-Jaargegevens!U26),365)</f>
        <v>0</v>
      </c>
      <c r="AU24" s="20">
        <f ca="1">MAX(0,(Opbrengsten!AT24/365)*Calculator!$R$71)</f>
        <v>0</v>
      </c>
      <c r="AV24" s="26">
        <f ca="1">Jaargegevens!X26</f>
        <v>3.5</v>
      </c>
      <c r="AW24" s="20">
        <f t="shared" ca="1" si="27"/>
        <v>0</v>
      </c>
      <c r="AY24" s="20">
        <f t="shared" ca="1" si="1"/>
        <v>3500</v>
      </c>
      <c r="AZ24" s="20">
        <f>Calculator!$R$34</f>
        <v>3500</v>
      </c>
      <c r="BA24" s="97">
        <f>Calculator!$V$36</f>
        <v>0.2857142857142857</v>
      </c>
      <c r="BB24" s="96">
        <f>Calculator!$R$36</f>
        <v>1000</v>
      </c>
      <c r="BC24" s="214">
        <f ca="1">MIN(Calculator!$R$32,R24)</f>
        <v>2500</v>
      </c>
      <c r="BD24" s="20">
        <f t="shared" ca="1" si="28"/>
        <v>4500</v>
      </c>
      <c r="BE24" s="214">
        <f t="shared" ca="1" si="29"/>
        <v>3500</v>
      </c>
      <c r="BG24" s="28">
        <f t="shared" ca="1" si="30"/>
        <v>2500</v>
      </c>
      <c r="BH24" s="28">
        <f t="shared" ca="1" si="2"/>
        <v>8977.9111383848067</v>
      </c>
      <c r="BI24" s="28">
        <f t="shared" ca="1" si="31"/>
        <v>2500</v>
      </c>
      <c r="BJ24" s="74">
        <f ca="1">IF(B24&lt;=Jaargegevens!$M$7,Calculator!$S$49,AH24+Jaargegevens!S26+Jaargegevens!J26)</f>
        <v>0.20370548588996074</v>
      </c>
      <c r="BL24" s="20" t="str">
        <f ca="1">IF(Calculator!$R$118&lt;=B24,Keuzemenu!$I$18,Keuzemenu!$I$17)</f>
        <v>Ja</v>
      </c>
      <c r="BM24" s="76">
        <f ca="1">Jaargegevens!AB26</f>
        <v>14</v>
      </c>
      <c r="BN24" s="26">
        <f ca="1">IF(Calculator!R$102/4&lt;Q24,Calculator!R$102*(BM24/60),Q24)</f>
        <v>2.3333333333333335</v>
      </c>
      <c r="BO24" s="20">
        <f t="shared" ca="1" si="32"/>
        <v>81760</v>
      </c>
      <c r="BP24" s="20">
        <f t="shared" ca="1" si="33"/>
        <v>2977.9111383848067</v>
      </c>
      <c r="BQ24" s="20">
        <f t="shared" ca="1" si="34"/>
        <v>2977.9111383848067</v>
      </c>
      <c r="BR24" s="77">
        <f t="shared" ca="1" si="3"/>
        <v>0.14404036572599738</v>
      </c>
      <c r="BS24" s="74">
        <f ca="1">Jaargegevens!R26+Jaargegevens!AD26+Jaargegevens!J26</f>
        <v>0.40370548588996075</v>
      </c>
      <c r="BT24" s="74">
        <f t="shared" ca="1" si="35"/>
        <v>0.25966512016396337</v>
      </c>
      <c r="BU24" s="29">
        <f ca="1">Jaargegevens!AF26</f>
        <v>0.85</v>
      </c>
      <c r="BV24" s="74">
        <f t="shared" ca="1" si="36"/>
        <v>0.22071535213936885</v>
      </c>
      <c r="BW24" s="30"/>
      <c r="BX24" s="31">
        <f t="shared" ca="1" si="4"/>
        <v>-130.98977688852079</v>
      </c>
      <c r="BY24" s="31">
        <f t="shared" ca="1" si="37"/>
        <v>595.43792057387179</v>
      </c>
      <c r="BZ24" s="31">
        <f t="shared" ca="1" si="38"/>
        <v>509.26371472490183</v>
      </c>
      <c r="CA24" s="32">
        <f t="shared" ca="1" si="39"/>
        <v>657.27070554835143</v>
      </c>
      <c r="CB24" s="32">
        <f t="shared" ca="1" si="40"/>
        <v>0</v>
      </c>
      <c r="CC24" s="32">
        <f t="shared" ca="1" si="41"/>
        <v>48.889316613590552</v>
      </c>
      <c r="CD24" s="33">
        <f t="shared" ca="1" si="42"/>
        <v>1680</v>
      </c>
      <c r="CE24" s="33">
        <f ca="1">IF(CD24&lt;&gt;"",SUM(CD$12:CD24),"")</f>
        <v>21210</v>
      </c>
      <c r="CH24" s="78">
        <f t="shared" ca="1" si="5"/>
        <v>8977.9111383848067</v>
      </c>
      <c r="CI24" s="78">
        <f t="shared" ca="1" si="43"/>
        <v>2500</v>
      </c>
      <c r="CJ24" s="78">
        <f t="shared" ca="1" si="44"/>
        <v>6477.9111383848067</v>
      </c>
      <c r="CK24" s="78">
        <f ca="1">Jaargegevens!G26</f>
        <v>10000</v>
      </c>
      <c r="CL24" s="78">
        <f t="shared" ca="1" si="45"/>
        <v>0</v>
      </c>
      <c r="CM24" s="79">
        <f ca="1">Jaargegevens!F26-Jaargegevens!H26</f>
        <v>2.6520000000000002E-2</v>
      </c>
      <c r="CN24" s="33">
        <f t="shared" ca="1" si="46"/>
        <v>0</v>
      </c>
      <c r="CO24" s="33"/>
      <c r="CP24" s="78">
        <f t="shared" ca="1" si="6"/>
        <v>8977.9111383848067</v>
      </c>
      <c r="CQ24" s="78">
        <f t="shared" ca="1" si="7"/>
        <v>2500</v>
      </c>
      <c r="CR24" s="78">
        <f t="shared" ca="1" si="8"/>
        <v>6477.9111383848067</v>
      </c>
      <c r="CS24" s="79">
        <f t="shared" ca="1" si="9"/>
        <v>0.14404036572599738</v>
      </c>
      <c r="CT24" s="33">
        <f t="shared" ca="1" si="47"/>
        <v>933.08068951345956</v>
      </c>
      <c r="CU24" s="78"/>
      <c r="CV24" s="78">
        <f t="shared" ca="1" si="48"/>
        <v>8977.9111383848067</v>
      </c>
      <c r="CW24" s="78">
        <f t="shared" ca="1" si="10"/>
        <v>359.11644553539259</v>
      </c>
      <c r="CX24" s="78">
        <f t="shared" ca="1" si="49"/>
        <v>8618.7946928494148</v>
      </c>
      <c r="CY24" s="78">
        <f t="shared" ca="1" si="11"/>
        <v>3500</v>
      </c>
      <c r="CZ24" s="79">
        <f t="shared" ca="1" si="12"/>
        <v>0.31416548588996074</v>
      </c>
      <c r="DA24" s="33">
        <f t="shared" ca="1" si="50"/>
        <v>1099.5792006148627</v>
      </c>
      <c r="DB24" s="78">
        <f t="shared" ca="1" si="13"/>
        <v>2500</v>
      </c>
      <c r="DC24" s="79">
        <f t="shared" ca="1" si="14"/>
        <v>0.20370548588996074</v>
      </c>
      <c r="DD24" s="33">
        <f t="shared" ca="1" si="51"/>
        <v>509.26371472490183</v>
      </c>
      <c r="DE24" s="78">
        <f t="shared" ca="1" si="52"/>
        <v>2618.7946928494148</v>
      </c>
      <c r="DF24" s="79">
        <f t="shared" ca="1" si="15"/>
        <v>0.3647557178653662</v>
      </c>
      <c r="DG24" s="33">
        <f t="shared" ca="1" si="53"/>
        <v>955.2203381322995</v>
      </c>
      <c r="DH24" s="33">
        <f t="shared" ca="1" si="54"/>
        <v>2564.0632534720639</v>
      </c>
      <c r="DJ24" s="32">
        <f t="shared" ca="1" si="55"/>
        <v>1630.9825639586043</v>
      </c>
      <c r="DK24" s="32">
        <f t="shared" ca="1" si="56"/>
        <v>0</v>
      </c>
      <c r="DL24" s="32">
        <f t="shared" ca="1" si="57"/>
        <v>48.889316613590552</v>
      </c>
      <c r="DM24" s="32"/>
      <c r="DN24" s="33">
        <f t="shared" ca="1" si="62"/>
        <v>1680</v>
      </c>
    </row>
    <row r="25" spans="1:118">
      <c r="A25" s="19">
        <v>14</v>
      </c>
      <c r="B25" s="19">
        <f ca="1">Jaargegevens!A27</f>
        <v>2038</v>
      </c>
      <c r="C25" s="20" t="str">
        <f>IF(A25&gt;Calculator!$R$96,"Nee",IF(H24&lt;K25,"Ja","Nee"))</f>
        <v>Nee</v>
      </c>
      <c r="D25" s="23">
        <f ca="1">Jaargegevens!D27</f>
        <v>2.5000000000000001E-2</v>
      </c>
      <c r="F25" s="212">
        <f ca="1">Cycli!Q23</f>
        <v>1.5</v>
      </c>
      <c r="G25" s="20">
        <f t="shared" ca="1" si="58"/>
        <v>547.5</v>
      </c>
      <c r="H25" s="20">
        <f ca="1">SUM(G$12:G25)</f>
        <v>7164</v>
      </c>
      <c r="I25" s="25">
        <f>Calculator!$R$94</f>
        <v>0.96</v>
      </c>
      <c r="K25" s="24">
        <f t="shared" si="59"/>
        <v>10000</v>
      </c>
      <c r="L25" s="25">
        <f>Calculator!$R$100</f>
        <v>0.7</v>
      </c>
      <c r="M25" s="169">
        <f ca="1">Degradatie!F29</f>
        <v>1.4657310991248913E-2</v>
      </c>
      <c r="N25" s="169">
        <f ca="1">SUM(M$10:M25)</f>
        <v>0.27215953300898077</v>
      </c>
      <c r="O25" s="170"/>
      <c r="P25" s="169">
        <f t="shared" ca="1" si="60"/>
        <v>0.73516912248664368</v>
      </c>
      <c r="Q25" s="26">
        <f ca="1">P25*Calculator!$R$92</f>
        <v>16.063445326333166</v>
      </c>
      <c r="R25" s="20">
        <f t="shared" ca="1" si="16"/>
        <v>8794.7363161674093</v>
      </c>
      <c r="S25" s="20">
        <f ca="1">SUM(R$12:R25)</f>
        <v>133267.13810961734</v>
      </c>
      <c r="U25" s="27">
        <f t="shared" ca="1" si="61"/>
        <v>250.22367064779212</v>
      </c>
      <c r="V25" s="27">
        <f ca="1">IF(Calculator!$R$73&gt;0,(Jaargegevens!L27+Jaargegevens!M27)*12,Jaargegevens!L27*12)</f>
        <v>200.11212111886178</v>
      </c>
      <c r="X25" s="74">
        <f t="shared" ca="1" si="17"/>
        <v>7.9538165002307759E-2</v>
      </c>
      <c r="Y25" s="74">
        <f ca="1">Jaargegevens!F27</f>
        <v>0.11046</v>
      </c>
      <c r="Z25" s="74">
        <f t="shared" ca="1" si="18"/>
        <v>0.18999816500230776</v>
      </c>
      <c r="AA25" s="74">
        <f ca="1">IF(Calculator!$R$25="Dynamisch",Opbrengsten!Z25,AA24*(1+D24))</f>
        <v>0.20879812303720974</v>
      </c>
      <c r="AB25" s="74">
        <f ca="1">IF(Calculator!$R$25="Dynamisch",0,AB24*(1+D24))</f>
        <v>0.19487824816806246</v>
      </c>
      <c r="AC25" s="75"/>
      <c r="AD25" s="74">
        <f ca="1">Jaargegevens!O27+Jaargegevens!P27</f>
        <v>3.3919874869147312E-2</v>
      </c>
      <c r="AE25" s="74">
        <f t="shared" ca="1" si="19"/>
        <v>0.11046</v>
      </c>
      <c r="AF25" s="74">
        <f t="shared" ca="1" si="20"/>
        <v>0.14437987486914733</v>
      </c>
      <c r="AG25" s="75"/>
      <c r="AH25" s="74">
        <f ca="1">Jaargegevens!R27</f>
        <v>0.20879812303720974</v>
      </c>
      <c r="AI25" s="74">
        <f t="shared" ca="1" si="0"/>
        <v>0.11046</v>
      </c>
      <c r="AJ25" s="74">
        <f t="shared" ca="1" si="21"/>
        <v>0.31925812303720974</v>
      </c>
      <c r="AL25" s="74">
        <f t="shared" ca="1" si="22"/>
        <v>0.12135899895317853</v>
      </c>
      <c r="AM25" s="74">
        <f t="shared" ca="1" si="23"/>
        <v>0.11046</v>
      </c>
      <c r="AN25" s="74">
        <f t="shared" ca="1" si="24"/>
        <v>0.23181899895317853</v>
      </c>
      <c r="AP25" s="20">
        <f>Calculator!$R$38</f>
        <v>4500</v>
      </c>
      <c r="AQ25" s="20">
        <f t="shared" ca="1" si="25"/>
        <v>0</v>
      </c>
      <c r="AR25" s="20">
        <f t="shared" ca="1" si="26"/>
        <v>4500</v>
      </c>
      <c r="AT25" s="20">
        <f ca="1">MIN(MAX(0,-Jaargegevens!U27),365)</f>
        <v>0</v>
      </c>
      <c r="AU25" s="20">
        <f ca="1">MAX(0,(Opbrengsten!AT25/365)*Calculator!$R$71)</f>
        <v>0</v>
      </c>
      <c r="AV25" s="26">
        <f ca="1">Jaargegevens!X27</f>
        <v>3.5</v>
      </c>
      <c r="AW25" s="20">
        <f t="shared" ca="1" si="27"/>
        <v>0</v>
      </c>
      <c r="AY25" s="20">
        <f t="shared" ca="1" si="1"/>
        <v>3500</v>
      </c>
      <c r="AZ25" s="20">
        <f>Calculator!$R$34</f>
        <v>3500</v>
      </c>
      <c r="BA25" s="97">
        <f>Calculator!$V$36</f>
        <v>0.2857142857142857</v>
      </c>
      <c r="BB25" s="96">
        <f>Calculator!$R$36</f>
        <v>1000</v>
      </c>
      <c r="BC25" s="214">
        <f ca="1">MIN(Calculator!$R$32,R25)</f>
        <v>2500</v>
      </c>
      <c r="BD25" s="20">
        <f t="shared" ca="1" si="28"/>
        <v>4500</v>
      </c>
      <c r="BE25" s="214">
        <f t="shared" ca="1" si="29"/>
        <v>3500</v>
      </c>
      <c r="BG25" s="28">
        <f t="shared" ca="1" si="30"/>
        <v>2500</v>
      </c>
      <c r="BH25" s="28">
        <f t="shared" ca="1" si="2"/>
        <v>8794.7363161674093</v>
      </c>
      <c r="BI25" s="28">
        <f t="shared" ca="1" si="31"/>
        <v>2500</v>
      </c>
      <c r="BJ25" s="74">
        <f ca="1">IF(B25&lt;=Jaargegevens!$M$7,Calculator!$S$49,AH25+Jaargegevens!S27+Jaargegevens!J27)</f>
        <v>0.20879812303720974</v>
      </c>
      <c r="BL25" s="20" t="str">
        <f ca="1">IF(Calculator!$R$118&lt;=B25,Keuzemenu!$I$18,Keuzemenu!$I$17)</f>
        <v>Ja</v>
      </c>
      <c r="BM25" s="76">
        <f ca="1">Jaargegevens!AB27</f>
        <v>14</v>
      </c>
      <c r="BN25" s="26">
        <f ca="1">IF(Calculator!R$102/4&lt;Q25,Calculator!R$102*(BM25/60),Q25)</f>
        <v>2.3333333333333335</v>
      </c>
      <c r="BO25" s="20">
        <f t="shared" ca="1" si="32"/>
        <v>81760</v>
      </c>
      <c r="BP25" s="20">
        <f t="shared" ca="1" si="33"/>
        <v>2794.7363161674093</v>
      </c>
      <c r="BQ25" s="20">
        <f t="shared" ca="1" si="34"/>
        <v>2794.7363161674093</v>
      </c>
      <c r="BR25" s="77">
        <f t="shared" ca="1" si="3"/>
        <v>0.14437987486914733</v>
      </c>
      <c r="BS25" s="74">
        <f ca="1">Jaargegevens!R27+Jaargegevens!AD27+Jaargegevens!J27</f>
        <v>0.40879812303720975</v>
      </c>
      <c r="BT25" s="74">
        <f t="shared" ca="1" si="35"/>
        <v>0.26441824816806242</v>
      </c>
      <c r="BU25" s="29">
        <f ca="1">Jaargegevens!AF27</f>
        <v>0.85</v>
      </c>
      <c r="BV25" s="74">
        <f t="shared" ca="1" si="36"/>
        <v>0.22475551094285304</v>
      </c>
      <c r="BW25" s="30"/>
      <c r="BX25" s="31">
        <f t="shared" ca="1" si="4"/>
        <v>-129.85793532733081</v>
      </c>
      <c r="BY25" s="31">
        <f t="shared" ca="1" si="37"/>
        <v>612.07386858821849</v>
      </c>
      <c r="BZ25" s="31">
        <f t="shared" ca="1" si="38"/>
        <v>521.99530759302434</v>
      </c>
      <c r="CA25" s="32">
        <f t="shared" ca="1" si="39"/>
        <v>628.13238869075292</v>
      </c>
      <c r="CB25" s="32">
        <f t="shared" ca="1" si="40"/>
        <v>0</v>
      </c>
      <c r="CC25" s="32">
        <f t="shared" ca="1" si="41"/>
        <v>50.11154952893034</v>
      </c>
      <c r="CD25" s="33">
        <f t="shared" ca="1" si="42"/>
        <v>1682</v>
      </c>
      <c r="CE25" s="33">
        <f ca="1">IF(CD25&lt;&gt;"",SUM(CD$12:CD25),"")</f>
        <v>22892</v>
      </c>
      <c r="CH25" s="78">
        <f t="shared" ca="1" si="5"/>
        <v>8794.7363161674093</v>
      </c>
      <c r="CI25" s="78">
        <f t="shared" ca="1" si="43"/>
        <v>2500</v>
      </c>
      <c r="CJ25" s="78">
        <f t="shared" ca="1" si="44"/>
        <v>6294.7363161674093</v>
      </c>
      <c r="CK25" s="78">
        <f ca="1">Jaargegevens!G27</f>
        <v>10000</v>
      </c>
      <c r="CL25" s="78">
        <f t="shared" ca="1" si="45"/>
        <v>0</v>
      </c>
      <c r="CM25" s="79">
        <f ca="1">Jaargegevens!F27-Jaargegevens!H27</f>
        <v>2.6520000000000002E-2</v>
      </c>
      <c r="CN25" s="33">
        <f t="shared" ca="1" si="46"/>
        <v>0</v>
      </c>
      <c r="CO25" s="33"/>
      <c r="CP25" s="78">
        <f t="shared" ca="1" si="6"/>
        <v>8794.7363161674093</v>
      </c>
      <c r="CQ25" s="78">
        <f t="shared" ca="1" si="7"/>
        <v>2500</v>
      </c>
      <c r="CR25" s="78">
        <f t="shared" ca="1" si="8"/>
        <v>6294.7363161674093</v>
      </c>
      <c r="CS25" s="79">
        <f t="shared" ca="1" si="9"/>
        <v>0.14437987486914733</v>
      </c>
      <c r="CT25" s="33">
        <f t="shared" ca="1" si="47"/>
        <v>908.83324166252794</v>
      </c>
      <c r="CU25" s="78"/>
      <c r="CV25" s="78">
        <f t="shared" ca="1" si="48"/>
        <v>8794.7363161674093</v>
      </c>
      <c r="CW25" s="78">
        <f t="shared" ca="1" si="10"/>
        <v>351.7894526466967</v>
      </c>
      <c r="CX25" s="78">
        <f t="shared" ca="1" si="49"/>
        <v>8442.9468635207122</v>
      </c>
      <c r="CY25" s="78">
        <f t="shared" ca="1" si="11"/>
        <v>3500</v>
      </c>
      <c r="CZ25" s="79">
        <f t="shared" ca="1" si="12"/>
        <v>0.31925812303720974</v>
      </c>
      <c r="DA25" s="33">
        <f t="shared" ca="1" si="50"/>
        <v>1117.4034306302342</v>
      </c>
      <c r="DB25" s="78">
        <f t="shared" ca="1" si="13"/>
        <v>2500</v>
      </c>
      <c r="DC25" s="79">
        <f t="shared" ca="1" si="14"/>
        <v>0.20879812303720974</v>
      </c>
      <c r="DD25" s="33">
        <f t="shared" ca="1" si="51"/>
        <v>521.99530759302434</v>
      </c>
      <c r="DE25" s="78">
        <f t="shared" ca="1" si="52"/>
        <v>2442.9468635207122</v>
      </c>
      <c r="DF25" s="79">
        <f t="shared" ca="1" si="15"/>
        <v>0.36913538581200034</v>
      </c>
      <c r="DG25" s="33">
        <f t="shared" ca="1" si="53"/>
        <v>901.77813298393426</v>
      </c>
      <c r="DH25" s="33">
        <f t="shared" ca="1" si="54"/>
        <v>2541.1768712071926</v>
      </c>
      <c r="DJ25" s="32">
        <f t="shared" ca="1" si="55"/>
        <v>1632.3436295446645</v>
      </c>
      <c r="DK25" s="32">
        <f t="shared" ca="1" si="56"/>
        <v>0</v>
      </c>
      <c r="DL25" s="32">
        <f t="shared" ca="1" si="57"/>
        <v>50.11154952893034</v>
      </c>
      <c r="DM25" s="32"/>
      <c r="DN25" s="33">
        <f t="shared" ca="1" si="62"/>
        <v>1682</v>
      </c>
    </row>
    <row r="26" spans="1:118">
      <c r="A26" s="19">
        <v>15</v>
      </c>
      <c r="B26" s="19">
        <f ca="1">Jaargegevens!A28</f>
        <v>2039</v>
      </c>
      <c r="C26" s="20" t="str">
        <f>IF(A26&gt;Calculator!$R$96,"Nee",IF(H25&lt;K26,"Ja","Nee"))</f>
        <v>Nee</v>
      </c>
      <c r="D26" s="23">
        <f ca="1">Jaargegevens!D28</f>
        <v>2.5000000000000001E-2</v>
      </c>
      <c r="F26" s="212">
        <f ca="1">Cycli!Q24</f>
        <v>1.5</v>
      </c>
      <c r="G26" s="20">
        <f t="shared" ca="1" si="58"/>
        <v>547.5</v>
      </c>
      <c r="H26" s="20">
        <f ca="1">SUM(G$12:G26)</f>
        <v>7711.5</v>
      </c>
      <c r="I26" s="25">
        <f>Calculator!$R$94</f>
        <v>0.96</v>
      </c>
      <c r="K26" s="24">
        <f t="shared" si="59"/>
        <v>10000</v>
      </c>
      <c r="L26" s="25">
        <f>Calculator!$R$100</f>
        <v>0.7</v>
      </c>
      <c r="M26" s="169">
        <f ca="1">Degradatie!F30</f>
        <v>1.3246524441459597E-2</v>
      </c>
      <c r="N26" s="169">
        <f ca="1">SUM(M$10:M26)</f>
        <v>0.28540605745044034</v>
      </c>
      <c r="O26" s="170"/>
      <c r="P26" s="169">
        <f t="shared" ca="1" si="60"/>
        <v>0.72121720477028939</v>
      </c>
      <c r="Q26" s="26">
        <f ca="1">P26*Calculator!$R$92</f>
        <v>15.758595924230825</v>
      </c>
      <c r="R26" s="20">
        <f t="shared" ca="1" si="16"/>
        <v>8627.8312685163764</v>
      </c>
      <c r="S26" s="20">
        <f ca="1">SUM(R$12:R26)</f>
        <v>141894.96937813371</v>
      </c>
      <c r="U26" s="27">
        <f t="shared" ca="1" si="61"/>
        <v>256.47926241398687</v>
      </c>
      <c r="V26" s="27">
        <f ca="1">IF(Calculator!$R$73&gt;0,(Jaargegevens!L28+Jaargegevens!M28)*12,Jaargegevens!L28*12)</f>
        <v>205.11492414683332</v>
      </c>
      <c r="X26" s="74">
        <f t="shared" ca="1" si="17"/>
        <v>8.1526619127365446E-2</v>
      </c>
      <c r="Y26" s="74">
        <f ca="1">Jaargegevens!F28</f>
        <v>0.11046</v>
      </c>
      <c r="Z26" s="74">
        <f t="shared" ca="1" si="18"/>
        <v>0.19198661912736545</v>
      </c>
      <c r="AA26" s="74">
        <f ca="1">IF(Calculator!$R$25="Dynamisch",Opbrengsten!Z26,AA25*(1+D25))</f>
        <v>0.21401807611313997</v>
      </c>
      <c r="AB26" s="74">
        <f ca="1">IF(Calculator!$R$25="Dynamisch",0,AB25*(1+D25))</f>
        <v>0.19975020437226401</v>
      </c>
      <c r="AC26" s="75"/>
      <c r="AD26" s="74">
        <f ca="1">Jaargegevens!O28+Jaargegevens!P28</f>
        <v>3.4267871740875998E-2</v>
      </c>
      <c r="AE26" s="74">
        <f t="shared" ca="1" si="19"/>
        <v>0.11046</v>
      </c>
      <c r="AF26" s="74">
        <f t="shared" ca="1" si="20"/>
        <v>0.14472787174087601</v>
      </c>
      <c r="AG26" s="75"/>
      <c r="AH26" s="74">
        <f ca="1">Jaargegevens!R28</f>
        <v>0.21401807611313997</v>
      </c>
      <c r="AI26" s="74">
        <f t="shared" ca="1" si="0"/>
        <v>0.11046</v>
      </c>
      <c r="AJ26" s="74">
        <f t="shared" ca="1" si="21"/>
        <v>0.32447807611313995</v>
      </c>
      <c r="AL26" s="74">
        <f t="shared" ca="1" si="22"/>
        <v>0.12414297392700799</v>
      </c>
      <c r="AM26" s="74">
        <f t="shared" ca="1" si="23"/>
        <v>0.11046</v>
      </c>
      <c r="AN26" s="74">
        <f t="shared" ca="1" si="24"/>
        <v>0.23460297392700799</v>
      </c>
      <c r="AP26" s="20">
        <f>Calculator!$R$38</f>
        <v>4500</v>
      </c>
      <c r="AQ26" s="20">
        <f t="shared" ca="1" si="25"/>
        <v>0</v>
      </c>
      <c r="AR26" s="20">
        <f t="shared" ca="1" si="26"/>
        <v>4500</v>
      </c>
      <c r="AT26" s="20">
        <f ca="1">MIN(MAX(0,-Jaargegevens!U28),365)</f>
        <v>0</v>
      </c>
      <c r="AU26" s="20">
        <f ca="1">MAX(0,(Opbrengsten!AT26/365)*Calculator!$R$71)</f>
        <v>0</v>
      </c>
      <c r="AV26" s="26">
        <f ca="1">Jaargegevens!X28</f>
        <v>3.5</v>
      </c>
      <c r="AW26" s="20">
        <f t="shared" ca="1" si="27"/>
        <v>0</v>
      </c>
      <c r="AY26" s="20">
        <f t="shared" ca="1" si="1"/>
        <v>3500</v>
      </c>
      <c r="AZ26" s="20">
        <f>Calculator!$R$34</f>
        <v>3500</v>
      </c>
      <c r="BA26" s="97">
        <f>Calculator!$V$36</f>
        <v>0.2857142857142857</v>
      </c>
      <c r="BB26" s="96">
        <f>Calculator!$R$36</f>
        <v>1000</v>
      </c>
      <c r="BC26" s="214">
        <f ca="1">MIN(Calculator!$R$32,R26)</f>
        <v>2500</v>
      </c>
      <c r="BD26" s="20">
        <f t="shared" ca="1" si="28"/>
        <v>4500</v>
      </c>
      <c r="BE26" s="214">
        <f t="shared" ca="1" si="29"/>
        <v>3500</v>
      </c>
      <c r="BG26" s="28">
        <f t="shared" ca="1" si="30"/>
        <v>2500</v>
      </c>
      <c r="BH26" s="28">
        <f t="shared" ca="1" si="2"/>
        <v>8627.8312685163764</v>
      </c>
      <c r="BI26" s="28">
        <f t="shared" ca="1" si="31"/>
        <v>2500</v>
      </c>
      <c r="BJ26" s="74">
        <f ca="1">IF(B26&lt;=Jaargegevens!$M$7,Calculator!$S$49,AH26+Jaargegevens!S28+Jaargegevens!J28)</f>
        <v>0.21401807611313997</v>
      </c>
      <c r="BL26" s="20" t="str">
        <f ca="1">IF(Calculator!$R$118&lt;=B26,Keuzemenu!$I$18,Keuzemenu!$I$17)</f>
        <v>Ja</v>
      </c>
      <c r="BM26" s="76">
        <f ca="1">Jaargegevens!AB28</f>
        <v>14</v>
      </c>
      <c r="BN26" s="26">
        <f ca="1">IF(Calculator!R$102/4&lt;Q26,Calculator!R$102*(BM26/60),Q26)</f>
        <v>2.3333333333333335</v>
      </c>
      <c r="BO26" s="20">
        <f t="shared" ca="1" si="32"/>
        <v>81760</v>
      </c>
      <c r="BP26" s="20">
        <f t="shared" ca="1" si="33"/>
        <v>2627.8312685163764</v>
      </c>
      <c r="BQ26" s="20">
        <f t="shared" ca="1" si="34"/>
        <v>2627.8312685163764</v>
      </c>
      <c r="BR26" s="77">
        <f t="shared" ca="1" si="3"/>
        <v>0.14472787174087601</v>
      </c>
      <c r="BS26" s="74">
        <f ca="1">Jaargegevens!R28+Jaargegevens!AD28+Jaargegevens!J28</f>
        <v>0.41401807611314001</v>
      </c>
      <c r="BT26" s="74">
        <f t="shared" ca="1" si="35"/>
        <v>0.26929020437226403</v>
      </c>
      <c r="BU26" s="29">
        <f ca="1">Jaargegevens!AF28</f>
        <v>0.85</v>
      </c>
      <c r="BV26" s="74">
        <f t="shared" ca="1" si="36"/>
        <v>0.22889667371642441</v>
      </c>
      <c r="BW26" s="30"/>
      <c r="BX26" s="31">
        <f t="shared" ca="1" si="4"/>
        <v>-128.94278143926869</v>
      </c>
      <c r="BY26" s="31">
        <f t="shared" ca="1" si="37"/>
        <v>629.12571530292382</v>
      </c>
      <c r="BZ26" s="31">
        <f t="shared" ca="1" si="38"/>
        <v>535.04519028284994</v>
      </c>
      <c r="CA26" s="32">
        <f t="shared" ca="1" si="39"/>
        <v>601.50183645141067</v>
      </c>
      <c r="CB26" s="32">
        <f t="shared" ca="1" si="40"/>
        <v>0</v>
      </c>
      <c r="CC26" s="32">
        <f t="shared" ca="1" si="41"/>
        <v>51.364338267153556</v>
      </c>
      <c r="CD26" s="33">
        <f t="shared" ca="1" si="42"/>
        <v>1688</v>
      </c>
      <c r="CE26" s="33">
        <f ca="1">IF(CD26&lt;&gt;"",SUM(CD$12:CD26),"")</f>
        <v>24580</v>
      </c>
      <c r="CH26" s="78">
        <f t="shared" ca="1" si="5"/>
        <v>8627.8312685163764</v>
      </c>
      <c r="CI26" s="78">
        <f t="shared" ca="1" si="43"/>
        <v>2500</v>
      </c>
      <c r="CJ26" s="78">
        <f t="shared" ca="1" si="44"/>
        <v>6127.8312685163764</v>
      </c>
      <c r="CK26" s="78">
        <f ca="1">Jaargegevens!G28</f>
        <v>10000</v>
      </c>
      <c r="CL26" s="78">
        <f t="shared" ca="1" si="45"/>
        <v>0</v>
      </c>
      <c r="CM26" s="79">
        <f ca="1">Jaargegevens!F28-Jaargegevens!H28</f>
        <v>2.6520000000000002E-2</v>
      </c>
      <c r="CN26" s="33">
        <f t="shared" ca="1" si="46"/>
        <v>0</v>
      </c>
      <c r="CO26" s="33"/>
      <c r="CP26" s="78">
        <f t="shared" ca="1" si="6"/>
        <v>8627.8312685163764</v>
      </c>
      <c r="CQ26" s="78">
        <f t="shared" ca="1" si="7"/>
        <v>2500</v>
      </c>
      <c r="CR26" s="78">
        <f t="shared" ca="1" si="8"/>
        <v>6127.8312685163764</v>
      </c>
      <c r="CS26" s="79">
        <f t="shared" ca="1" si="9"/>
        <v>0.14472787174087601</v>
      </c>
      <c r="CT26" s="33">
        <f t="shared" ca="1" si="47"/>
        <v>886.86797787956766</v>
      </c>
      <c r="CU26" s="78"/>
      <c r="CV26" s="78">
        <f t="shared" ca="1" si="48"/>
        <v>8627.8312685163764</v>
      </c>
      <c r="CW26" s="78">
        <f t="shared" ca="1" si="10"/>
        <v>345.11325074065536</v>
      </c>
      <c r="CX26" s="78">
        <f t="shared" ca="1" si="49"/>
        <v>8282.7180177757218</v>
      </c>
      <c r="CY26" s="78">
        <f t="shared" ca="1" si="11"/>
        <v>3500</v>
      </c>
      <c r="CZ26" s="79">
        <f t="shared" ca="1" si="12"/>
        <v>0.32447807611313995</v>
      </c>
      <c r="DA26" s="33">
        <f t="shared" ca="1" si="50"/>
        <v>1135.6732663959899</v>
      </c>
      <c r="DB26" s="78">
        <f t="shared" ca="1" si="13"/>
        <v>2500</v>
      </c>
      <c r="DC26" s="79">
        <f t="shared" ca="1" si="14"/>
        <v>0.21401807611313997</v>
      </c>
      <c r="DD26" s="33">
        <f t="shared" ca="1" si="51"/>
        <v>535.04519028284994</v>
      </c>
      <c r="DE26" s="78">
        <f t="shared" ca="1" si="52"/>
        <v>2282.7180177757218</v>
      </c>
      <c r="DF26" s="79">
        <f t="shared" ca="1" si="15"/>
        <v>0.37362454545730039</v>
      </c>
      <c r="DG26" s="33">
        <f t="shared" ca="1" si="53"/>
        <v>852.87948179864384</v>
      </c>
      <c r="DH26" s="33">
        <f t="shared" ca="1" si="54"/>
        <v>2523.5979384774837</v>
      </c>
      <c r="DJ26" s="32">
        <f t="shared" ca="1" si="55"/>
        <v>1636.729960597916</v>
      </c>
      <c r="DK26" s="32">
        <f t="shared" ca="1" si="56"/>
        <v>0</v>
      </c>
      <c r="DL26" s="32">
        <f t="shared" ca="1" si="57"/>
        <v>51.364338267153556</v>
      </c>
      <c r="DM26" s="32"/>
      <c r="DN26" s="33">
        <f t="shared" ca="1" si="62"/>
        <v>1688</v>
      </c>
    </row>
    <row r="27" spans="1:118">
      <c r="A27" s="19">
        <v>16</v>
      </c>
      <c r="B27" s="19">
        <f ca="1">Jaargegevens!A29</f>
        <v>2040</v>
      </c>
      <c r="C27" s="20" t="str">
        <f>IF(A27&gt;Calculator!$R$96,"Nee",IF(H26&lt;K27,"Ja","Nee"))</f>
        <v>Nee</v>
      </c>
      <c r="D27" s="23">
        <f ca="1">Jaargegevens!D29</f>
        <v>2.5000000000000001E-2</v>
      </c>
      <c r="F27" s="212">
        <f ca="1">Cycli!Q25</f>
        <v>1.5</v>
      </c>
      <c r="G27" s="20">
        <f t="shared" ca="1" si="58"/>
        <v>547.5</v>
      </c>
      <c r="H27" s="20">
        <f ca="1">SUM(G$12:G27)</f>
        <v>8259</v>
      </c>
      <c r="I27" s="25">
        <f>Calculator!$R$94</f>
        <v>0.96</v>
      </c>
      <c r="K27" s="24">
        <f t="shared" si="59"/>
        <v>10000</v>
      </c>
      <c r="L27" s="25">
        <f>Calculator!$R$100</f>
        <v>0.7</v>
      </c>
      <c r="M27" s="169">
        <f ca="1">Degradatie!F31</f>
        <v>1.1726335774802954E-2</v>
      </c>
      <c r="N27" s="169">
        <f ca="1">SUM(M$10:M27)</f>
        <v>0.29713239322524332</v>
      </c>
      <c r="O27" s="170"/>
      <c r="P27" s="169">
        <f t="shared" ca="1" si="60"/>
        <v>0.70873077466215817</v>
      </c>
      <c r="Q27" s="26">
        <f ca="1">P27*Calculator!$R$92</f>
        <v>15.485767426368158</v>
      </c>
      <c r="R27" s="20">
        <f t="shared" ca="1" si="16"/>
        <v>8478.4576659365666</v>
      </c>
      <c r="S27" s="20">
        <f ca="1">SUM(R$12:R27)</f>
        <v>150373.42704407027</v>
      </c>
      <c r="U27" s="27">
        <f t="shared" ca="1" si="61"/>
        <v>262.89124397433653</v>
      </c>
      <c r="V27" s="27">
        <f ca="1">IF(Calculator!$R$73&gt;0,(Jaargegevens!L29+Jaargegevens!M29)*12,Jaargegevens!L29*12)</f>
        <v>210.24279725050414</v>
      </c>
      <c r="X27" s="74">
        <f t="shared" ca="1" si="17"/>
        <v>8.3564784605549572E-2</v>
      </c>
      <c r="Y27" s="74">
        <f ca="1">Jaargegevens!F29</f>
        <v>0.11046</v>
      </c>
      <c r="Z27" s="74">
        <f t="shared" ca="1" si="18"/>
        <v>0.19402478460554956</v>
      </c>
      <c r="AA27" s="74">
        <f ca="1">IF(Calculator!$R$25="Dynamisch",Opbrengsten!Z27,AA26*(1+D26))</f>
        <v>0.21936852801596846</v>
      </c>
      <c r="AB27" s="74">
        <f ca="1">IF(Calculator!$R$25="Dynamisch",0,AB26*(1+D26))</f>
        <v>0.20474395948157059</v>
      </c>
      <c r="AC27" s="75"/>
      <c r="AD27" s="74">
        <f ca="1">Jaargegevens!O29+Jaargegevens!P29</f>
        <v>3.4624568534397895E-2</v>
      </c>
      <c r="AE27" s="74">
        <f t="shared" ca="1" si="19"/>
        <v>0.11046</v>
      </c>
      <c r="AF27" s="74">
        <f t="shared" ca="1" si="20"/>
        <v>0.14508456853439788</v>
      </c>
      <c r="AG27" s="75"/>
      <c r="AH27" s="74">
        <f ca="1">Jaargegevens!R29</f>
        <v>0.21936852801596846</v>
      </c>
      <c r="AI27" s="74">
        <f t="shared" ca="1" si="0"/>
        <v>0.11046</v>
      </c>
      <c r="AJ27" s="74">
        <f t="shared" ca="1" si="21"/>
        <v>0.32982852801596846</v>
      </c>
      <c r="AL27" s="74">
        <f t="shared" ca="1" si="22"/>
        <v>0.12699654827518317</v>
      </c>
      <c r="AM27" s="74">
        <f t="shared" ca="1" si="23"/>
        <v>0.11046</v>
      </c>
      <c r="AN27" s="74">
        <f t="shared" ca="1" si="24"/>
        <v>0.23745654827518317</v>
      </c>
      <c r="AP27" s="20">
        <f>Calculator!$R$38</f>
        <v>4500</v>
      </c>
      <c r="AQ27" s="20">
        <f t="shared" ca="1" si="25"/>
        <v>0</v>
      </c>
      <c r="AR27" s="20">
        <f t="shared" ca="1" si="26"/>
        <v>4500</v>
      </c>
      <c r="AT27" s="20">
        <f ca="1">MIN(MAX(0,-Jaargegevens!U29),365)</f>
        <v>0</v>
      </c>
      <c r="AU27" s="20">
        <f ca="1">MAX(0,(Opbrengsten!AT27/365)*Calculator!$R$71)</f>
        <v>0</v>
      </c>
      <c r="AV27" s="26">
        <f ca="1">Jaargegevens!X29</f>
        <v>3.5</v>
      </c>
      <c r="AW27" s="20">
        <f t="shared" ca="1" si="27"/>
        <v>0</v>
      </c>
      <c r="AY27" s="20">
        <f t="shared" ca="1" si="1"/>
        <v>3500</v>
      </c>
      <c r="AZ27" s="20">
        <f>Calculator!$R$34</f>
        <v>3500</v>
      </c>
      <c r="BA27" s="97">
        <f>Calculator!$V$36</f>
        <v>0.2857142857142857</v>
      </c>
      <c r="BB27" s="96">
        <f>Calculator!$R$36</f>
        <v>1000</v>
      </c>
      <c r="BC27" s="214">
        <f ca="1">MIN(Calculator!$R$32,R27)</f>
        <v>2500</v>
      </c>
      <c r="BD27" s="20">
        <f t="shared" ca="1" si="28"/>
        <v>4500</v>
      </c>
      <c r="BE27" s="214">
        <f t="shared" ca="1" si="29"/>
        <v>3500</v>
      </c>
      <c r="BG27" s="28">
        <f t="shared" ca="1" si="30"/>
        <v>2500</v>
      </c>
      <c r="BH27" s="28">
        <f t="shared" ca="1" si="2"/>
        <v>8478.4576659365666</v>
      </c>
      <c r="BI27" s="28">
        <f t="shared" ca="1" si="31"/>
        <v>2500</v>
      </c>
      <c r="BJ27" s="74">
        <f ca="1">IF(B27&lt;=Jaargegevens!$M$7,Calculator!$S$49,AH27+Jaargegevens!S29+Jaargegevens!J29)</f>
        <v>0.21936852801596846</v>
      </c>
      <c r="BL27" s="20" t="str">
        <f ca="1">IF(Calculator!$R$118&lt;=B27,Keuzemenu!$I$18,Keuzemenu!$I$17)</f>
        <v>Ja</v>
      </c>
      <c r="BM27" s="76">
        <f ca="1">Jaargegevens!AB29</f>
        <v>14</v>
      </c>
      <c r="BN27" s="26">
        <f ca="1">IF(Calculator!R$102/4&lt;Q27,Calculator!R$102*(BM27/60),Q27)</f>
        <v>2.3333333333333335</v>
      </c>
      <c r="BO27" s="20">
        <f t="shared" ca="1" si="32"/>
        <v>81760</v>
      </c>
      <c r="BP27" s="20">
        <f t="shared" ca="1" si="33"/>
        <v>2478.4576659365666</v>
      </c>
      <c r="BQ27" s="20">
        <f t="shared" ca="1" si="34"/>
        <v>2478.4576659365666</v>
      </c>
      <c r="BR27" s="77">
        <f t="shared" ca="1" si="3"/>
        <v>0.14508456853439788</v>
      </c>
      <c r="BS27" s="74">
        <f ca="1">Jaargegevens!R29+Jaargegevens!AD29+Jaargegevens!J29</f>
        <v>0.41936852801596847</v>
      </c>
      <c r="BT27" s="74">
        <f t="shared" ca="1" si="35"/>
        <v>0.27428395948157058</v>
      </c>
      <c r="BU27" s="29">
        <f ca="1">Jaargegevens!AF29</f>
        <v>0.85</v>
      </c>
      <c r="BV27" s="74">
        <f t="shared" ca="1" si="36"/>
        <v>0.23314136555933498</v>
      </c>
      <c r="BW27" s="30"/>
      <c r="BX27" s="31">
        <f t="shared" ca="1" si="4"/>
        <v>-128.27090281492121</v>
      </c>
      <c r="BY27" s="31">
        <f t="shared" ca="1" si="37"/>
        <v>646.60385818549696</v>
      </c>
      <c r="BZ27" s="31">
        <f t="shared" ca="1" si="38"/>
        <v>548.42132003992117</v>
      </c>
      <c r="CA27" s="32">
        <f t="shared" ca="1" si="39"/>
        <v>577.8310047174532</v>
      </c>
      <c r="CB27" s="32">
        <f t="shared" ca="1" si="40"/>
        <v>0</v>
      </c>
      <c r="CC27" s="32">
        <f t="shared" ca="1" si="41"/>
        <v>52.648446723832393</v>
      </c>
      <c r="CD27" s="33">
        <f t="shared" ca="1" si="42"/>
        <v>1697</v>
      </c>
      <c r="CE27" s="33">
        <f ca="1">IF(CD27&lt;&gt;"",SUM(CD$12:CD27),"")</f>
        <v>26277</v>
      </c>
      <c r="CH27" s="78">
        <f t="shared" ca="1" si="5"/>
        <v>8478.4576659365666</v>
      </c>
      <c r="CI27" s="78">
        <f t="shared" ca="1" si="43"/>
        <v>2500</v>
      </c>
      <c r="CJ27" s="78">
        <f t="shared" ca="1" si="44"/>
        <v>5978.4576659365666</v>
      </c>
      <c r="CK27" s="78">
        <f ca="1">Jaargegevens!G29</f>
        <v>10000</v>
      </c>
      <c r="CL27" s="78">
        <f t="shared" ca="1" si="45"/>
        <v>0</v>
      </c>
      <c r="CM27" s="79">
        <f ca="1">Jaargegevens!F29-Jaargegevens!H29</f>
        <v>2.6520000000000002E-2</v>
      </c>
      <c r="CN27" s="33">
        <f t="shared" ca="1" si="46"/>
        <v>0</v>
      </c>
      <c r="CO27" s="33"/>
      <c r="CP27" s="78">
        <f t="shared" ca="1" si="6"/>
        <v>8478.4576659365666</v>
      </c>
      <c r="CQ27" s="78">
        <f t="shared" ca="1" si="7"/>
        <v>2500</v>
      </c>
      <c r="CR27" s="78">
        <f t="shared" ca="1" si="8"/>
        <v>5978.4576659365666</v>
      </c>
      <c r="CS27" s="79">
        <f t="shared" ca="1" si="9"/>
        <v>0.14508456853439788</v>
      </c>
      <c r="CT27" s="33">
        <f t="shared" ca="1" si="47"/>
        <v>867.38195096357026</v>
      </c>
      <c r="CU27" s="78"/>
      <c r="CV27" s="78">
        <f t="shared" ca="1" si="48"/>
        <v>8478.4576659365666</v>
      </c>
      <c r="CW27" s="78">
        <f t="shared" ca="1" si="10"/>
        <v>339.13830663746296</v>
      </c>
      <c r="CX27" s="78">
        <f t="shared" ca="1" si="49"/>
        <v>8139.3193592991038</v>
      </c>
      <c r="CY27" s="78">
        <f t="shared" ca="1" si="11"/>
        <v>3500</v>
      </c>
      <c r="CZ27" s="79">
        <f t="shared" ca="1" si="12"/>
        <v>0.32982852801596846</v>
      </c>
      <c r="DA27" s="33">
        <f t="shared" ca="1" si="50"/>
        <v>1154.3998480558896</v>
      </c>
      <c r="DB27" s="78">
        <f t="shared" ca="1" si="13"/>
        <v>2500</v>
      </c>
      <c r="DC27" s="79">
        <f t="shared" ca="1" si="14"/>
        <v>0.21936852801596846</v>
      </c>
      <c r="DD27" s="33">
        <f t="shared" ca="1" si="51"/>
        <v>548.42132003992117</v>
      </c>
      <c r="DE27" s="78">
        <f t="shared" ca="1" si="52"/>
        <v>2139.3193592991038</v>
      </c>
      <c r="DF27" s="79">
        <f t="shared" ca="1" si="15"/>
        <v>0.37822593409373284</v>
      </c>
      <c r="DG27" s="33">
        <f t="shared" ca="1" si="53"/>
        <v>809.1460629957096</v>
      </c>
      <c r="DH27" s="33">
        <f t="shared" ca="1" si="54"/>
        <v>2511.9672310915203</v>
      </c>
      <c r="DJ27" s="32">
        <f t="shared" ca="1" si="55"/>
        <v>1644.58528012795</v>
      </c>
      <c r="DK27" s="32">
        <f t="shared" ca="1" si="56"/>
        <v>0</v>
      </c>
      <c r="DL27" s="32">
        <f t="shared" ca="1" si="57"/>
        <v>52.648446723832393</v>
      </c>
      <c r="DM27" s="32"/>
      <c r="DN27" s="33">
        <f t="shared" ca="1" si="62"/>
        <v>1697</v>
      </c>
    </row>
    <row r="28" spans="1:118">
      <c r="A28" s="19">
        <v>17</v>
      </c>
      <c r="B28" s="19">
        <f ca="1">Jaargegevens!A30</f>
        <v>2041</v>
      </c>
      <c r="C28" s="20" t="str">
        <f>IF(A28&gt;Calculator!$R$96,"Nee",IF(H27&lt;K28,"Ja","Nee"))</f>
        <v>Nee</v>
      </c>
      <c r="D28" s="23">
        <f ca="1">Jaargegevens!D30</f>
        <v>2.5000000000000001E-2</v>
      </c>
      <c r="F28" s="212">
        <f ca="1">Cycli!Q26</f>
        <v>1.5</v>
      </c>
      <c r="G28" s="20">
        <f t="shared" ca="1" si="58"/>
        <v>547.5</v>
      </c>
      <c r="H28" s="20">
        <f ca="1">SUM(G$12:G28)</f>
        <v>8806.5</v>
      </c>
      <c r="I28" s="25">
        <f>Calculator!$R$94</f>
        <v>0.96</v>
      </c>
      <c r="K28" s="24">
        <f t="shared" si="59"/>
        <v>10000</v>
      </c>
      <c r="L28" s="25">
        <f>Calculator!$R$100</f>
        <v>0.7</v>
      </c>
      <c r="M28" s="169">
        <f ca="1">Degradatie!F32</f>
        <v>1.0088261196776679E-2</v>
      </c>
      <c r="N28" s="169">
        <f ca="1">SUM(M$10:M28)</f>
        <v>0.30722065442202001</v>
      </c>
      <c r="O28" s="170"/>
      <c r="P28" s="169">
        <f t="shared" ca="1" si="60"/>
        <v>0.69782347617636842</v>
      </c>
      <c r="Q28" s="26">
        <f ca="1">P28*Calculator!$R$92</f>
        <v>15.247442954453652</v>
      </c>
      <c r="R28" s="20">
        <f t="shared" ca="1" si="16"/>
        <v>8347.9750175633744</v>
      </c>
      <c r="S28" s="20">
        <f ca="1">SUM(R$12:R28)</f>
        <v>158721.40206163365</v>
      </c>
      <c r="U28" s="27">
        <f t="shared" ca="1" si="61"/>
        <v>269.46352507369494</v>
      </c>
      <c r="V28" s="27">
        <f ca="1">IF(Calculator!$R$73&gt;0,(Jaargegevens!L30+Jaargegevens!M30)*12,Jaargegevens!L30*12)</f>
        <v>215.49886718176674</v>
      </c>
      <c r="X28" s="74">
        <f t="shared" ca="1" si="17"/>
        <v>8.5653904220688304E-2</v>
      </c>
      <c r="Y28" s="74">
        <f ca="1">Jaargegevens!F30</f>
        <v>0.11046</v>
      </c>
      <c r="Z28" s="74">
        <f t="shared" ca="1" si="18"/>
        <v>0.19611390422068831</v>
      </c>
      <c r="AA28" s="74">
        <f ca="1">IF(Calculator!$R$25="Dynamisch",Opbrengsten!Z28,AA27*(1+D27))</f>
        <v>0.22485274121636764</v>
      </c>
      <c r="AB28" s="74">
        <f ca="1">IF(Calculator!$R$25="Dynamisch",0,AB27*(1+D27))</f>
        <v>0.20986255846860985</v>
      </c>
      <c r="AC28" s="75"/>
      <c r="AD28" s="74">
        <f ca="1">Jaargegevens!O30+Jaargegevens!P30</f>
        <v>3.4990182747757843E-2</v>
      </c>
      <c r="AE28" s="74">
        <f t="shared" ca="1" si="19"/>
        <v>0.11046</v>
      </c>
      <c r="AF28" s="74">
        <f t="shared" ca="1" si="20"/>
        <v>0.14545018274775784</v>
      </c>
      <c r="AG28" s="75"/>
      <c r="AH28" s="74">
        <f ca="1">Jaargegevens!R30</f>
        <v>0.22485274121636764</v>
      </c>
      <c r="AI28" s="74">
        <f t="shared" ca="1" si="0"/>
        <v>0.11046</v>
      </c>
      <c r="AJ28" s="74">
        <f t="shared" ca="1" si="21"/>
        <v>0.33531274121636767</v>
      </c>
      <c r="AL28" s="74">
        <f t="shared" ca="1" si="22"/>
        <v>0.12992146198206275</v>
      </c>
      <c r="AM28" s="74">
        <f t="shared" ca="1" si="23"/>
        <v>0.11046</v>
      </c>
      <c r="AN28" s="74">
        <f t="shared" ca="1" si="24"/>
        <v>0.24038146198206276</v>
      </c>
      <c r="AP28" s="20">
        <f>Calculator!$R$38</f>
        <v>4500</v>
      </c>
      <c r="AQ28" s="20">
        <f t="shared" ca="1" si="25"/>
        <v>0</v>
      </c>
      <c r="AR28" s="20">
        <f t="shared" ca="1" si="26"/>
        <v>4500</v>
      </c>
      <c r="AT28" s="20">
        <f ca="1">MIN(MAX(0,-Jaargegevens!U30),365)</f>
        <v>0</v>
      </c>
      <c r="AU28" s="20">
        <f ca="1">MAX(0,(Opbrengsten!AT28/365)*Calculator!$R$71)</f>
        <v>0</v>
      </c>
      <c r="AV28" s="26">
        <f ca="1">Jaargegevens!X30</f>
        <v>3.5</v>
      </c>
      <c r="AW28" s="20">
        <f t="shared" ca="1" si="27"/>
        <v>0</v>
      </c>
      <c r="AY28" s="20">
        <f t="shared" ca="1" si="1"/>
        <v>3500</v>
      </c>
      <c r="AZ28" s="20">
        <f>Calculator!$R$34</f>
        <v>3500</v>
      </c>
      <c r="BA28" s="97">
        <f>Calculator!$V$36</f>
        <v>0.2857142857142857</v>
      </c>
      <c r="BB28" s="96">
        <f>Calculator!$R$36</f>
        <v>1000</v>
      </c>
      <c r="BC28" s="214">
        <f ca="1">MIN(Calculator!$R$32,R28)</f>
        <v>2500</v>
      </c>
      <c r="BD28" s="20">
        <f t="shared" ca="1" si="28"/>
        <v>4500</v>
      </c>
      <c r="BE28" s="214">
        <f t="shared" ca="1" si="29"/>
        <v>3500</v>
      </c>
      <c r="BG28" s="28">
        <f t="shared" ca="1" si="30"/>
        <v>2500</v>
      </c>
      <c r="BH28" s="28">
        <f t="shared" ca="1" si="2"/>
        <v>8347.9750175633744</v>
      </c>
      <c r="BI28" s="28">
        <f t="shared" ca="1" si="31"/>
        <v>2500</v>
      </c>
      <c r="BJ28" s="74">
        <f ca="1">IF(B28&lt;=Jaargegevens!$M$7,Calculator!$S$49,AH28+Jaargegevens!S30+Jaargegevens!J30)</f>
        <v>0.22485274121636764</v>
      </c>
      <c r="BL28" s="20" t="str">
        <f ca="1">IF(Calculator!$R$118&lt;=B28,Keuzemenu!$I$18,Keuzemenu!$I$17)</f>
        <v>Ja</v>
      </c>
      <c r="BM28" s="76">
        <f ca="1">Jaargegevens!AB30</f>
        <v>14</v>
      </c>
      <c r="BN28" s="26">
        <f ca="1">IF(Calculator!R$102/4&lt;Q28,Calculator!R$102*(BM28/60),Q28)</f>
        <v>2.3333333333333335</v>
      </c>
      <c r="BO28" s="20">
        <f t="shared" ca="1" si="32"/>
        <v>81760</v>
      </c>
      <c r="BP28" s="20">
        <f t="shared" ca="1" si="33"/>
        <v>2347.9750175633744</v>
      </c>
      <c r="BQ28" s="20">
        <f t="shared" ca="1" si="34"/>
        <v>2347.9750175633744</v>
      </c>
      <c r="BR28" s="77">
        <f t="shared" ca="1" si="3"/>
        <v>0.14545018274775784</v>
      </c>
      <c r="BS28" s="74">
        <f ca="1">Jaargegevens!R30+Jaargegevens!AD30+Jaargegevens!J30</f>
        <v>0.42485274121636762</v>
      </c>
      <c r="BT28" s="74">
        <f t="shared" ca="1" si="35"/>
        <v>0.27940255846860979</v>
      </c>
      <c r="BU28" s="29">
        <f ca="1">Jaargegevens!AF30</f>
        <v>0.85</v>
      </c>
      <c r="BV28" s="74">
        <f t="shared" ca="1" si="36"/>
        <v>0.23749217469831832</v>
      </c>
      <c r="BW28" s="30"/>
      <c r="BX28" s="31">
        <f t="shared" ca="1" si="4"/>
        <v>-127.87172932506684</v>
      </c>
      <c r="BY28" s="31">
        <f t="shared" ca="1" si="37"/>
        <v>664.51895464013444</v>
      </c>
      <c r="BZ28" s="31">
        <f t="shared" ca="1" si="38"/>
        <v>562.13185304091905</v>
      </c>
      <c r="CA28" s="32">
        <f t="shared" ca="1" si="39"/>
        <v>557.62569305844795</v>
      </c>
      <c r="CB28" s="32">
        <f t="shared" ca="1" si="40"/>
        <v>0</v>
      </c>
      <c r="CC28" s="32">
        <f t="shared" ca="1" si="41"/>
        <v>53.964657891928198</v>
      </c>
      <c r="CD28" s="33">
        <f t="shared" ca="1" si="42"/>
        <v>1710</v>
      </c>
      <c r="CE28" s="33">
        <f ca="1">IF(CD28&lt;&gt;"",SUM(CD$12:CD28),"")</f>
        <v>27987</v>
      </c>
      <c r="CH28" s="78">
        <f t="shared" ca="1" si="5"/>
        <v>8347.9750175633744</v>
      </c>
      <c r="CI28" s="78">
        <f t="shared" ca="1" si="43"/>
        <v>2500</v>
      </c>
      <c r="CJ28" s="78">
        <f t="shared" ca="1" si="44"/>
        <v>5847.9750175633744</v>
      </c>
      <c r="CK28" s="78">
        <f ca="1">Jaargegevens!G30</f>
        <v>10000</v>
      </c>
      <c r="CL28" s="78">
        <f t="shared" ca="1" si="45"/>
        <v>0</v>
      </c>
      <c r="CM28" s="79">
        <f ca="1">Jaargegevens!F30-Jaargegevens!H30</f>
        <v>2.6520000000000002E-2</v>
      </c>
      <c r="CN28" s="33">
        <f t="shared" ca="1" si="46"/>
        <v>0</v>
      </c>
      <c r="CO28" s="33"/>
      <c r="CP28" s="78">
        <f t="shared" ca="1" si="6"/>
        <v>8347.9750175633744</v>
      </c>
      <c r="CQ28" s="78">
        <f t="shared" ca="1" si="7"/>
        <v>2500</v>
      </c>
      <c r="CR28" s="78">
        <f t="shared" ca="1" si="8"/>
        <v>5847.9750175633744</v>
      </c>
      <c r="CS28" s="79">
        <f t="shared" ca="1" si="9"/>
        <v>0.14545018274775784</v>
      </c>
      <c r="CT28" s="33">
        <f t="shared" ca="1" si="47"/>
        <v>850.58903500891518</v>
      </c>
      <c r="CU28" s="78"/>
      <c r="CV28" s="78">
        <f t="shared" ca="1" si="48"/>
        <v>8347.9750175633744</v>
      </c>
      <c r="CW28" s="78">
        <f t="shared" ca="1" si="10"/>
        <v>333.9190007025353</v>
      </c>
      <c r="CX28" s="78">
        <f t="shared" ca="1" si="49"/>
        <v>8014.056016860839</v>
      </c>
      <c r="CY28" s="78">
        <f t="shared" ca="1" si="11"/>
        <v>3500</v>
      </c>
      <c r="CZ28" s="79">
        <f t="shared" ca="1" si="12"/>
        <v>0.33531274121636767</v>
      </c>
      <c r="DA28" s="33">
        <f t="shared" ca="1" si="50"/>
        <v>1173.5945942572869</v>
      </c>
      <c r="DB28" s="78">
        <f t="shared" ca="1" si="13"/>
        <v>2500</v>
      </c>
      <c r="DC28" s="79">
        <f t="shared" ca="1" si="14"/>
        <v>0.22485274121636764</v>
      </c>
      <c r="DD28" s="33">
        <f t="shared" ca="1" si="51"/>
        <v>562.13185304091905</v>
      </c>
      <c r="DE28" s="78">
        <f t="shared" ca="1" si="52"/>
        <v>2014.056016860839</v>
      </c>
      <c r="DF28" s="79">
        <f t="shared" ca="1" si="15"/>
        <v>0.38294235744607619</v>
      </c>
      <c r="DG28" s="33">
        <f t="shared" ca="1" si="53"/>
        <v>771.26735912514391</v>
      </c>
      <c r="DH28" s="33">
        <f t="shared" ca="1" si="54"/>
        <v>2506.9938064233502</v>
      </c>
      <c r="DJ28" s="32">
        <f t="shared" ca="1" si="55"/>
        <v>1656.4047714144349</v>
      </c>
      <c r="DK28" s="32">
        <f t="shared" ca="1" si="56"/>
        <v>0</v>
      </c>
      <c r="DL28" s="32">
        <f t="shared" ca="1" si="57"/>
        <v>53.964657891928198</v>
      </c>
      <c r="DM28" s="32"/>
      <c r="DN28" s="33">
        <f t="shared" ca="1" si="62"/>
        <v>1710</v>
      </c>
    </row>
    <row r="29" spans="1:118">
      <c r="A29" s="19">
        <v>18</v>
      </c>
      <c r="B29" s="19">
        <f ca="1">Jaargegevens!A31</f>
        <v>2042</v>
      </c>
      <c r="C29" s="20" t="str">
        <f>IF(A29&gt;Calculator!$R$96,"Nee",IF(H28&lt;K29,"Ja","Nee"))</f>
        <v>Nee</v>
      </c>
      <c r="D29" s="23">
        <f ca="1">Jaargegevens!D31</f>
        <v>2.5000000000000001E-2</v>
      </c>
      <c r="F29" s="212">
        <f ca="1">Cycli!Q27</f>
        <v>1.5</v>
      </c>
      <c r="G29" s="20">
        <f t="shared" ca="1" si="58"/>
        <v>547.5</v>
      </c>
      <c r="H29" s="20">
        <f ca="1">SUM(G$12:G29)</f>
        <v>9354</v>
      </c>
      <c r="I29" s="25">
        <f>Calculator!$R$94</f>
        <v>0.96</v>
      </c>
      <c r="K29" s="24">
        <f t="shared" si="59"/>
        <v>10000</v>
      </c>
      <c r="L29" s="25">
        <f>Calculator!$R$100</f>
        <v>0.7</v>
      </c>
      <c r="M29" s="169">
        <f ca="1">Degradatie!F33</f>
        <v>8.3231590209544137E-3</v>
      </c>
      <c r="N29" s="169">
        <f ca="1">SUM(M$10:M29)</f>
        <v>0.31554381344297444</v>
      </c>
      <c r="O29" s="170"/>
      <c r="P29" s="169">
        <f t="shared" ca="1" si="60"/>
        <v>0.6886177660675028</v>
      </c>
      <c r="Q29" s="26">
        <f ca="1">P29*Calculator!$R$92</f>
        <v>15.046298188574937</v>
      </c>
      <c r="R29" s="20">
        <f t="shared" ca="1" si="16"/>
        <v>8237.8482582447778</v>
      </c>
      <c r="S29" s="20">
        <f ca="1">SUM(R$12:R29)</f>
        <v>166959.25031987843</v>
      </c>
      <c r="U29" s="27">
        <f t="shared" ca="1" si="61"/>
        <v>276.20011320053732</v>
      </c>
      <c r="V29" s="27">
        <f ca="1">IF(Calculator!$R$73&gt;0,(Jaargegevens!L31+Jaargegevens!M31)*12,Jaargegevens!L31*12)</f>
        <v>220.88633886131089</v>
      </c>
      <c r="X29" s="74">
        <f t="shared" ca="1" si="17"/>
        <v>8.7795251826205498E-2</v>
      </c>
      <c r="Y29" s="74">
        <f ca="1">Jaargegevens!F31</f>
        <v>0.11046</v>
      </c>
      <c r="Z29" s="74">
        <f t="shared" ca="1" si="18"/>
        <v>0.19825525182620551</v>
      </c>
      <c r="AA29" s="74">
        <f ca="1">IF(Calculator!$R$25="Dynamisch",Opbrengsten!Z29,AA28*(1+D28))</f>
        <v>0.23047405974677682</v>
      </c>
      <c r="AB29" s="74">
        <f ca="1">IF(Calculator!$R$25="Dynamisch",0,AB28*(1+D28))</f>
        <v>0.21510912243032507</v>
      </c>
      <c r="AC29" s="75"/>
      <c r="AD29" s="74">
        <f ca="1">Jaargegevens!O31+Jaargegevens!P31</f>
        <v>3.5364937316451787E-2</v>
      </c>
      <c r="AE29" s="74">
        <f t="shared" ca="1" si="19"/>
        <v>0.11046</v>
      </c>
      <c r="AF29" s="74">
        <f t="shared" ca="1" si="20"/>
        <v>0.1458249373164518</v>
      </c>
      <c r="AG29" s="75"/>
      <c r="AH29" s="74">
        <f ca="1">Jaargegevens!R31</f>
        <v>0.23047405974677682</v>
      </c>
      <c r="AI29" s="74">
        <f t="shared" ca="1" si="0"/>
        <v>0.11046</v>
      </c>
      <c r="AJ29" s="74">
        <f t="shared" ca="1" si="21"/>
        <v>0.34093405974677682</v>
      </c>
      <c r="AL29" s="74">
        <f t="shared" ca="1" si="22"/>
        <v>0.13291949853161431</v>
      </c>
      <c r="AM29" s="74">
        <f t="shared" ca="1" si="23"/>
        <v>0.11046</v>
      </c>
      <c r="AN29" s="74">
        <f t="shared" ca="1" si="24"/>
        <v>0.24337949853161431</v>
      </c>
      <c r="AP29" s="20">
        <f>Calculator!$R$38</f>
        <v>4500</v>
      </c>
      <c r="AQ29" s="20">
        <f t="shared" ca="1" si="25"/>
        <v>0</v>
      </c>
      <c r="AR29" s="20">
        <f t="shared" ca="1" si="26"/>
        <v>4500</v>
      </c>
      <c r="AT29" s="20">
        <f ca="1">MIN(MAX(0,-Jaargegevens!U31),365)</f>
        <v>0</v>
      </c>
      <c r="AU29" s="20">
        <f ca="1">MAX(0,(Opbrengsten!AT29/365)*Calculator!$R$71)</f>
        <v>0</v>
      </c>
      <c r="AV29" s="26">
        <f ca="1">Jaargegevens!X31</f>
        <v>3.5</v>
      </c>
      <c r="AW29" s="20">
        <f t="shared" ca="1" si="27"/>
        <v>0</v>
      </c>
      <c r="AY29" s="20">
        <f t="shared" ca="1" si="1"/>
        <v>3500</v>
      </c>
      <c r="AZ29" s="20">
        <f>Calculator!$R$34</f>
        <v>3500</v>
      </c>
      <c r="BA29" s="97">
        <f>Calculator!$V$36</f>
        <v>0.2857142857142857</v>
      </c>
      <c r="BB29" s="96">
        <f>Calculator!$R$36</f>
        <v>1000</v>
      </c>
      <c r="BC29" s="214">
        <f ca="1">MIN(Calculator!$R$32,R29)</f>
        <v>2500</v>
      </c>
      <c r="BD29" s="20">
        <f t="shared" ca="1" si="28"/>
        <v>4500</v>
      </c>
      <c r="BE29" s="214">
        <f t="shared" ca="1" si="29"/>
        <v>3500</v>
      </c>
      <c r="BG29" s="28">
        <f t="shared" ca="1" si="30"/>
        <v>2500</v>
      </c>
      <c r="BH29" s="28">
        <f t="shared" ca="1" si="2"/>
        <v>8237.8482582447778</v>
      </c>
      <c r="BI29" s="28">
        <f t="shared" ca="1" si="31"/>
        <v>2500</v>
      </c>
      <c r="BJ29" s="74">
        <f ca="1">IF(B29&lt;=Jaargegevens!$M$7,Calculator!$S$49,AH29+Jaargegevens!S31+Jaargegevens!J31)</f>
        <v>0.23047405974677682</v>
      </c>
      <c r="BL29" s="20" t="str">
        <f ca="1">IF(Calculator!$R$118&lt;=B29,Keuzemenu!$I$18,Keuzemenu!$I$17)</f>
        <v>Ja</v>
      </c>
      <c r="BM29" s="76">
        <f ca="1">Jaargegevens!AB31</f>
        <v>14</v>
      </c>
      <c r="BN29" s="26">
        <f ca="1">IF(Calculator!R$102/4&lt;Q29,Calculator!R$102*(BM29/60),Q29)</f>
        <v>2.3333333333333335</v>
      </c>
      <c r="BO29" s="20">
        <f t="shared" ca="1" si="32"/>
        <v>81760</v>
      </c>
      <c r="BP29" s="20">
        <f t="shared" ca="1" si="33"/>
        <v>2237.8482582447778</v>
      </c>
      <c r="BQ29" s="20">
        <f t="shared" ca="1" si="34"/>
        <v>2237.8482582447778</v>
      </c>
      <c r="BR29" s="77">
        <f t="shared" ca="1" si="3"/>
        <v>0.1458249373164518</v>
      </c>
      <c r="BS29" s="74">
        <f ca="1">Jaargegevens!R31+Jaargegevens!AD31+Jaargegevens!J31</f>
        <v>0.43047405974677683</v>
      </c>
      <c r="BT29" s="74">
        <f t="shared" ca="1" si="35"/>
        <v>0.28464912243032503</v>
      </c>
      <c r="BU29" s="29">
        <f ca="1">Jaargegevens!AF31</f>
        <v>0.85</v>
      </c>
      <c r="BV29" s="74">
        <f t="shared" ca="1" si="36"/>
        <v>0.24195175406577626</v>
      </c>
      <c r="BW29" s="30"/>
      <c r="BX29" s="31">
        <f t="shared" ca="1" si="4"/>
        <v>-127.7778216676405</v>
      </c>
      <c r="BY29" s="31">
        <f t="shared" ca="1" si="37"/>
        <v>682.88192850613757</v>
      </c>
      <c r="BZ29" s="31">
        <f t="shared" ca="1" si="38"/>
        <v>576.18514936694203</v>
      </c>
      <c r="CA29" s="32">
        <f t="shared" ca="1" si="39"/>
        <v>541.45131141536626</v>
      </c>
      <c r="CB29" s="32">
        <f t="shared" ca="1" si="40"/>
        <v>0</v>
      </c>
      <c r="CC29" s="32">
        <f t="shared" ca="1" si="41"/>
        <v>55.313774339226427</v>
      </c>
      <c r="CD29" s="33">
        <f t="shared" ca="1" si="42"/>
        <v>1728</v>
      </c>
      <c r="CE29" s="33">
        <f ca="1">IF(CD29&lt;&gt;"",SUM(CD$12:CD29),"")</f>
        <v>29715</v>
      </c>
      <c r="CH29" s="78">
        <f t="shared" ca="1" si="5"/>
        <v>8237.8482582447778</v>
      </c>
      <c r="CI29" s="78">
        <f t="shared" ca="1" si="43"/>
        <v>2500</v>
      </c>
      <c r="CJ29" s="78">
        <f t="shared" ca="1" si="44"/>
        <v>5737.8482582447778</v>
      </c>
      <c r="CK29" s="78">
        <f ca="1">Jaargegevens!G31</f>
        <v>10000</v>
      </c>
      <c r="CL29" s="78">
        <f t="shared" ca="1" si="45"/>
        <v>0</v>
      </c>
      <c r="CM29" s="79">
        <f ca="1">Jaargegevens!F31-Jaargegevens!H31</f>
        <v>2.6520000000000002E-2</v>
      </c>
      <c r="CN29" s="33">
        <f t="shared" ca="1" si="46"/>
        <v>0</v>
      </c>
      <c r="CO29" s="33"/>
      <c r="CP29" s="78">
        <f t="shared" ca="1" si="6"/>
        <v>8237.8482582447778</v>
      </c>
      <c r="CQ29" s="78">
        <f t="shared" ca="1" si="7"/>
        <v>2500</v>
      </c>
      <c r="CR29" s="78">
        <f t="shared" ca="1" si="8"/>
        <v>5737.8482582447778</v>
      </c>
      <c r="CS29" s="79">
        <f t="shared" ca="1" si="9"/>
        <v>0.1458249373164518</v>
      </c>
      <c r="CT29" s="33">
        <f t="shared" ca="1" si="47"/>
        <v>836.72136258985688</v>
      </c>
      <c r="CU29" s="78"/>
      <c r="CV29" s="78">
        <f t="shared" ca="1" si="48"/>
        <v>8237.8482582447778</v>
      </c>
      <c r="CW29" s="78">
        <f t="shared" ca="1" si="10"/>
        <v>329.51393032979138</v>
      </c>
      <c r="CX29" s="78">
        <f t="shared" ca="1" si="49"/>
        <v>7908.3343279149867</v>
      </c>
      <c r="CY29" s="78">
        <f t="shared" ca="1" si="11"/>
        <v>3500</v>
      </c>
      <c r="CZ29" s="79">
        <f t="shared" ca="1" si="12"/>
        <v>0.34093405974677682</v>
      </c>
      <c r="DA29" s="33">
        <f t="shared" ca="1" si="50"/>
        <v>1193.2692091137189</v>
      </c>
      <c r="DB29" s="78">
        <f t="shared" ca="1" si="13"/>
        <v>2500</v>
      </c>
      <c r="DC29" s="79">
        <f t="shared" ca="1" si="14"/>
        <v>0.23047405974677682</v>
      </c>
      <c r="DD29" s="33">
        <f t="shared" ca="1" si="51"/>
        <v>576.18514936694203</v>
      </c>
      <c r="DE29" s="78">
        <f t="shared" ca="1" si="52"/>
        <v>1908.3343279149867</v>
      </c>
      <c r="DF29" s="79">
        <f t="shared" ca="1" si="15"/>
        <v>0.38777669138222803</v>
      </c>
      <c r="DG29" s="33">
        <f t="shared" ca="1" si="53"/>
        <v>740.00757173000136</v>
      </c>
      <c r="DH29" s="33">
        <f t="shared" ca="1" si="54"/>
        <v>2509.4619302106626</v>
      </c>
      <c r="DJ29" s="32">
        <f t="shared" ca="1" si="55"/>
        <v>1672.7405676208057</v>
      </c>
      <c r="DK29" s="32">
        <f t="shared" ca="1" si="56"/>
        <v>0</v>
      </c>
      <c r="DL29" s="32">
        <f t="shared" ca="1" si="57"/>
        <v>55.313774339226427</v>
      </c>
      <c r="DM29" s="32"/>
      <c r="DN29" s="33">
        <f t="shared" ca="1" si="62"/>
        <v>1728</v>
      </c>
    </row>
    <row r="30" spans="1:118">
      <c r="A30" s="19">
        <v>19</v>
      </c>
      <c r="B30" s="19">
        <f ca="1">Jaargegevens!A32</f>
        <v>2043</v>
      </c>
      <c r="C30" s="20" t="str">
        <f>IF(A30&gt;Calculator!$R$96,"Nee",IF(H29&lt;K30,"Ja","Nee"))</f>
        <v>Nee</v>
      </c>
      <c r="D30" s="23">
        <f ca="1">Jaargegevens!D32</f>
        <v>2.5000000000000001E-2</v>
      </c>
      <c r="F30" s="212">
        <f ca="1">Cycli!Q28</f>
        <v>1.5</v>
      </c>
      <c r="G30" s="20">
        <f t="shared" ca="1" si="58"/>
        <v>547.5</v>
      </c>
      <c r="H30" s="20">
        <f ca="1">SUM(G$12:G30)</f>
        <v>9901.5</v>
      </c>
      <c r="I30" s="25">
        <f>Calculator!$R$94</f>
        <v>0.96</v>
      </c>
      <c r="K30" s="24">
        <f t="shared" si="59"/>
        <v>10000</v>
      </c>
      <c r="L30" s="25">
        <f>Calculator!$R$100</f>
        <v>0.7</v>
      </c>
      <c r="M30" s="169">
        <f ca="1">Degradatie!F34</f>
        <v>6.4211786515096583E-3</v>
      </c>
      <c r="N30" s="169">
        <f ca="1">SUM(M$10:M30)</f>
        <v>0.32196499209448409</v>
      </c>
      <c r="O30" s="170"/>
      <c r="P30" s="169">
        <f t="shared" ref="P30:P32" ca="1" si="63">((1-N29)+(1-N30))/2</f>
        <v>0.68124559723127076</v>
      </c>
      <c r="Q30" s="26">
        <f ca="1">P30*Calculator!$R$92</f>
        <v>14.885216299503266</v>
      </c>
      <c r="R30" s="20">
        <f t="shared" ref="R30:R32" ca="1" si="64">Q30*G30</f>
        <v>8149.6559239780381</v>
      </c>
      <c r="S30" s="20">
        <f ca="1">SUM(R$12:R30)</f>
        <v>175108.90624385647</v>
      </c>
      <c r="U30" s="27">
        <f t="shared" ca="1" si="61"/>
        <v>283.10511603055073</v>
      </c>
      <c r="V30" s="27">
        <f ca="1">IF(Calculator!$R$73&gt;0,(Jaargegevens!L32+Jaargegevens!M32)*12,Jaargegevens!L32*12)</f>
        <v>226.40849733284364</v>
      </c>
      <c r="X30" s="74">
        <f t="shared" ca="1" si="17"/>
        <v>8.9990133121860633E-2</v>
      </c>
      <c r="Y30" s="74">
        <f ca="1">Jaargegevens!F32</f>
        <v>0.11046</v>
      </c>
      <c r="Z30" s="74">
        <f t="shared" ref="Z30:Z32" ca="1" si="65">SUM(X30:Y30)</f>
        <v>0.20045013312186064</v>
      </c>
      <c r="AA30" s="74">
        <f ca="1">IF(Calculator!$R$25="Dynamisch",Opbrengsten!Z30,AA29*(1+D29))</f>
        <v>0.23623591124044621</v>
      </c>
      <c r="AB30" s="74">
        <f ca="1">IF(Calculator!$R$25="Dynamisch",0,AB29*(1+D29))</f>
        <v>0.22048685049108319</v>
      </c>
      <c r="AC30" s="75"/>
      <c r="AD30" s="74">
        <f ca="1">Jaargegevens!O32+Jaargegevens!P32</f>
        <v>3.5749060749363078E-2</v>
      </c>
      <c r="AE30" s="74">
        <f t="shared" ref="AE30:AE32" ca="1" si="66">Y30</f>
        <v>0.11046</v>
      </c>
      <c r="AF30" s="74">
        <f t="shared" ref="AF30:AF32" ca="1" si="67">SUM(AD30:AE30)</f>
        <v>0.14620906074936307</v>
      </c>
      <c r="AG30" s="75"/>
      <c r="AH30" s="74">
        <f ca="1">Jaargegevens!R32</f>
        <v>0.23623591124044621</v>
      </c>
      <c r="AI30" s="74">
        <f t="shared" ref="AI30:AI32" ca="1" si="68">Y30</f>
        <v>0.11046</v>
      </c>
      <c r="AJ30" s="74">
        <f t="shared" ref="AJ30:AJ32" ca="1" si="69">SUM(AH30:AI30)</f>
        <v>0.34669591124044619</v>
      </c>
      <c r="AL30" s="74">
        <f t="shared" ca="1" si="22"/>
        <v>0.13599248599490465</v>
      </c>
      <c r="AM30" s="74">
        <f t="shared" ca="1" si="23"/>
        <v>0.11046</v>
      </c>
      <c r="AN30" s="74">
        <f t="shared" ca="1" si="24"/>
        <v>0.24645248599490466</v>
      </c>
      <c r="AP30" s="20">
        <f>Calculator!$R$38</f>
        <v>4500</v>
      </c>
      <c r="AQ30" s="20">
        <f t="shared" ca="1" si="25"/>
        <v>0</v>
      </c>
      <c r="AR30" s="20">
        <f t="shared" ref="AR30:AR32" ca="1" si="70">SUM(AP30:AQ30)</f>
        <v>4500</v>
      </c>
      <c r="AT30" s="20">
        <f ca="1">MIN(MAX(0,-Jaargegevens!U32),365)</f>
        <v>0</v>
      </c>
      <c r="AU30" s="20">
        <f ca="1">MAX(0,(Opbrengsten!AT30/365)*Calculator!$R$71)</f>
        <v>0</v>
      </c>
      <c r="AV30" s="26">
        <f ca="1">Jaargegevens!X32</f>
        <v>3.5</v>
      </c>
      <c r="AW30" s="20">
        <f t="shared" ref="AW30:AW32" ca="1" si="71">AV30*AU30</f>
        <v>0</v>
      </c>
      <c r="AY30" s="20">
        <f t="shared" ca="1" si="1"/>
        <v>3500</v>
      </c>
      <c r="AZ30" s="20">
        <f>Calculator!$R$34</f>
        <v>3500</v>
      </c>
      <c r="BA30" s="97">
        <f>Calculator!$V$36</f>
        <v>0.2857142857142857</v>
      </c>
      <c r="BB30" s="96">
        <f>Calculator!$R$36</f>
        <v>1000</v>
      </c>
      <c r="BC30" s="214">
        <f ca="1">MIN(Calculator!$R$32,R30)</f>
        <v>2500</v>
      </c>
      <c r="BD30" s="20">
        <f t="shared" ref="BD30:BD32" ca="1" si="72">AY30+BB30</f>
        <v>4500</v>
      </c>
      <c r="BE30" s="214">
        <f t="shared" ca="1" si="29"/>
        <v>3500</v>
      </c>
      <c r="BG30" s="28">
        <f t="shared" ref="BG30:BG32" ca="1" si="73">BC30</f>
        <v>2500</v>
      </c>
      <c r="BH30" s="28">
        <f t="shared" ca="1" si="2"/>
        <v>8149.6559239780381</v>
      </c>
      <c r="BI30" s="28">
        <f t="shared" ref="BI30:BI32" ca="1" si="74">MIN(BG30:BH30)</f>
        <v>2500</v>
      </c>
      <c r="BJ30" s="74">
        <f ca="1">IF(B30&lt;=Jaargegevens!$M$7,Calculator!$S$49,AH30+Jaargegevens!S32+Jaargegevens!J32)</f>
        <v>0.23623591124044621</v>
      </c>
      <c r="BL30" s="20" t="str">
        <f ca="1">IF(Calculator!$R$118&lt;=B30,Keuzemenu!$I$18,Keuzemenu!$I$17)</f>
        <v>Ja</v>
      </c>
      <c r="BM30" s="76">
        <f ca="1">Jaargegevens!AB32</f>
        <v>14</v>
      </c>
      <c r="BN30" s="26">
        <f ca="1">IF(Calculator!R$102/4&lt;Q30,Calculator!R$102*(BM30/60),Q30)</f>
        <v>2.3333333333333335</v>
      </c>
      <c r="BO30" s="20">
        <f t="shared" ref="BO30:BO31" ca="1" si="75">IF(BL30="Ja",365*24*4*BN30,0)</f>
        <v>81760</v>
      </c>
      <c r="BP30" s="20">
        <f t="shared" ref="BP30:BP32" ca="1" si="76">MAX(0,BH30-BE30-BI30)</f>
        <v>2149.6559239780381</v>
      </c>
      <c r="BQ30" s="20">
        <f t="shared" ref="BQ30:BQ32" ca="1" si="77">MAX(0,MIN(BO30:BP30))</f>
        <v>2149.6559239780381</v>
      </c>
      <c r="BR30" s="77">
        <f t="shared" ca="1" si="3"/>
        <v>0.14620906074936307</v>
      </c>
      <c r="BS30" s="74">
        <f ca="1">Jaargegevens!R32+Jaargegevens!AD32+Jaargegevens!J32</f>
        <v>0.43623591124044625</v>
      </c>
      <c r="BT30" s="74">
        <f t="shared" ref="BT30:BT32" ca="1" si="78">BS30-BR30</f>
        <v>0.29002685049108318</v>
      </c>
      <c r="BU30" s="29">
        <f ca="1">Jaargegevens!AF32</f>
        <v>0.85</v>
      </c>
      <c r="BV30" s="74">
        <f t="shared" ref="BV30:BV32" ca="1" si="79">BT30*BU30</f>
        <v>0.2465228229174207</v>
      </c>
      <c r="BW30" s="30"/>
      <c r="BX30" s="31">
        <f t="shared" ca="1" si="4"/>
        <v>-128.02518889040243</v>
      </c>
      <c r="BY30" s="31">
        <f t="shared" ca="1" si="37"/>
        <v>701.70397671879084</v>
      </c>
      <c r="BZ30" s="31">
        <f t="shared" ref="BZ30:BZ32" ca="1" si="80">BC30*BJ30</f>
        <v>590.58977810111548</v>
      </c>
      <c r="CA30" s="32">
        <f t="shared" ref="CA30:CA32" ca="1" si="81">BQ30*BV30</f>
        <v>529.93924668022225</v>
      </c>
      <c r="CB30" s="32">
        <f t="shared" ref="CB30:CB32" ca="1" si="82">CN30</f>
        <v>0</v>
      </c>
      <c r="CC30" s="32">
        <f t="shared" ca="1" si="41"/>
        <v>56.696618697707095</v>
      </c>
      <c r="CD30" s="33">
        <f t="shared" ca="1" si="42"/>
        <v>1751</v>
      </c>
      <c r="CE30" s="33">
        <f ca="1">IF(CD30&lt;&gt;"",SUM(CD$12:CD30),"")</f>
        <v>31466</v>
      </c>
      <c r="CH30" s="78">
        <f t="shared" ca="1" si="5"/>
        <v>8149.6559239780381</v>
      </c>
      <c r="CI30" s="78">
        <f t="shared" ref="CI30:CI32" ca="1" si="83">BC30</f>
        <v>2500</v>
      </c>
      <c r="CJ30" s="78">
        <f t="shared" ref="CJ30:CJ32" ca="1" si="84">CH30-CI30</f>
        <v>5649.6559239780381</v>
      </c>
      <c r="CK30" s="78">
        <f ca="1">Jaargegevens!G32</f>
        <v>10000</v>
      </c>
      <c r="CL30" s="78">
        <f t="shared" ref="CL30:CL32" ca="1" si="85">MAX(CJ30-CK30,0)</f>
        <v>0</v>
      </c>
      <c r="CM30" s="79">
        <f ca="1">Jaargegevens!F32-Jaargegevens!H32</f>
        <v>2.6520000000000002E-2</v>
      </c>
      <c r="CN30" s="33">
        <f t="shared" ref="CN30:CN32" ca="1" si="86">CL30*CM30</f>
        <v>0</v>
      </c>
      <c r="CO30" s="33"/>
      <c r="CP30" s="78">
        <f t="shared" ca="1" si="6"/>
        <v>8149.6559239780381</v>
      </c>
      <c r="CQ30" s="78">
        <f t="shared" ref="CQ30:CQ32" ca="1" si="87">BC30</f>
        <v>2500</v>
      </c>
      <c r="CR30" s="78">
        <f t="shared" ref="CR30:CR32" ca="1" si="88">CP30-CQ30</f>
        <v>5649.6559239780381</v>
      </c>
      <c r="CS30" s="79">
        <f t="shared" ca="1" si="9"/>
        <v>0.14620906074936307</v>
      </c>
      <c r="CT30" s="33">
        <f t="shared" ref="CT30:CT32" ca="1" si="89">CR30*CS30</f>
        <v>826.03088620190397</v>
      </c>
      <c r="CU30" s="78"/>
      <c r="CV30" s="78">
        <f t="shared" ref="CV30:CV32" ca="1" si="90">CP30</f>
        <v>8149.6559239780381</v>
      </c>
      <c r="CW30" s="78">
        <f t="shared" ca="1" si="10"/>
        <v>325.98623695912181</v>
      </c>
      <c r="CX30" s="78">
        <f t="shared" ref="CX30:CX32" ca="1" si="91">CV30-CW30</f>
        <v>7823.6696870189162</v>
      </c>
      <c r="CY30" s="78">
        <f t="shared" ref="CY30:CY32" ca="1" si="92">AY30</f>
        <v>3500</v>
      </c>
      <c r="CZ30" s="79">
        <f t="shared" ca="1" si="12"/>
        <v>0.34669591124044619</v>
      </c>
      <c r="DA30" s="33">
        <f t="shared" ref="DA30:DA32" ca="1" si="93">CY30*CZ30</f>
        <v>1213.4356893415616</v>
      </c>
      <c r="DB30" s="78">
        <f t="shared" ref="DB30:DB32" ca="1" si="94">CQ30</f>
        <v>2500</v>
      </c>
      <c r="DC30" s="79">
        <f t="shared" ref="DC30:DC32" ca="1" si="95">BJ30</f>
        <v>0.23623591124044621</v>
      </c>
      <c r="DD30" s="33">
        <f t="shared" ref="DD30:DD32" ca="1" si="96">DB30*DC30</f>
        <v>590.58977810111548</v>
      </c>
      <c r="DE30" s="78">
        <f t="shared" ca="1" si="52"/>
        <v>1823.6696870189162</v>
      </c>
      <c r="DF30" s="79">
        <f t="shared" ref="DF30:DF32" ca="1" si="97">BR30+BV30</f>
        <v>0.3927318836667838</v>
      </c>
      <c r="DG30" s="33">
        <f t="shared" ref="DG30:DG32" ca="1" si="98">DE30*DF30</f>
        <v>716.21323136895296</v>
      </c>
      <c r="DH30" s="33">
        <f t="shared" ref="DH30:DH32" ca="1" si="99">DA30+DD30+DG30</f>
        <v>2520.23869881163</v>
      </c>
      <c r="DJ30" s="32">
        <f t="shared" ref="DJ30:DJ32" ca="1" si="100">DH30-CT30</f>
        <v>1694.207812609726</v>
      </c>
      <c r="DK30" s="32">
        <f t="shared" ref="DK30:DK32" ca="1" si="101">CB30</f>
        <v>0</v>
      </c>
      <c r="DL30" s="32">
        <f t="shared" ref="DL30:DL32" ca="1" si="102">CC30</f>
        <v>56.696618697707095</v>
      </c>
      <c r="DM30" s="32"/>
      <c r="DN30" s="33">
        <f t="shared" ca="1" si="62"/>
        <v>1751</v>
      </c>
    </row>
    <row r="31" spans="1:118">
      <c r="A31" s="19">
        <v>20</v>
      </c>
      <c r="B31" s="19">
        <f ca="1">Jaargegevens!A33</f>
        <v>2044</v>
      </c>
      <c r="C31" s="20" t="str">
        <f>IF(A31&gt;Calculator!$R$96,"Nee",IF(H30&lt;K31,"Ja","Nee"))</f>
        <v>Nee</v>
      </c>
      <c r="D31" s="23">
        <f ca="1">Jaargegevens!D33</f>
        <v>2.5000000000000001E-2</v>
      </c>
      <c r="F31" s="212">
        <f ca="1">Cycli!Q29</f>
        <v>1.5</v>
      </c>
      <c r="G31" s="20">
        <f t="shared" ca="1" si="58"/>
        <v>547.5</v>
      </c>
      <c r="H31" s="20">
        <f ca="1">SUM(G$12:G31)</f>
        <v>10449</v>
      </c>
      <c r="I31" s="25">
        <f>Calculator!$R$94</f>
        <v>0.96</v>
      </c>
      <c r="K31" s="24">
        <f t="shared" si="59"/>
        <v>10000</v>
      </c>
      <c r="L31" s="25">
        <f>Calculator!$R$100</f>
        <v>0.7</v>
      </c>
      <c r="M31" s="169">
        <f ca="1">Degradatie!F35</f>
        <v>4.3717056094927003E-3</v>
      </c>
      <c r="N31" s="169">
        <f ca="1">SUM(M$10:M31)</f>
        <v>0.32633669770397677</v>
      </c>
      <c r="O31" s="170"/>
      <c r="P31" s="169">
        <f t="shared" ca="1" si="63"/>
        <v>0.67584915510076959</v>
      </c>
      <c r="Q31" s="26">
        <f ca="1">P31*Calculator!$R$92</f>
        <v>14.767304038951817</v>
      </c>
      <c r="R31" s="20">
        <f t="shared" ca="1" si="64"/>
        <v>8085.0989613261199</v>
      </c>
      <c r="S31" s="20">
        <f ca="1">SUM(R$12:R31)</f>
        <v>183194.00520518259</v>
      </c>
      <c r="U31" s="27">
        <f t="shared" ca="1" si="61"/>
        <v>290.18274393131446</v>
      </c>
      <c r="V31" s="27">
        <f ca="1">IF(Calculator!$R$73&gt;0,(Jaargegevens!L33+Jaargegevens!M33)*12,Jaargegevens!L33*12)</f>
        <v>232.06870976616472</v>
      </c>
      <c r="X31" s="74">
        <f t="shared" ca="1" si="17"/>
        <v>9.2239886449907146E-2</v>
      </c>
      <c r="Y31" s="74">
        <f ca="1">Jaargegevens!F33</f>
        <v>0.11046</v>
      </c>
      <c r="Z31" s="74">
        <f t="shared" ca="1" si="65"/>
        <v>0.20269988644990716</v>
      </c>
      <c r="AA31" s="74">
        <f ca="1">IF(Calculator!$R$25="Dynamisch",Opbrengsten!Z31,AA30*(1+D30))</f>
        <v>0.24214180902145735</v>
      </c>
      <c r="AB31" s="74">
        <f ca="1">IF(Calculator!$R$25="Dynamisch",0,AB30*(1+D30))</f>
        <v>0.22599902175336026</v>
      </c>
      <c r="AC31" s="75"/>
      <c r="AD31" s="74">
        <f ca="1">Jaargegevens!O33+Jaargegevens!P33</f>
        <v>3.6142787268097151E-2</v>
      </c>
      <c r="AE31" s="74">
        <f t="shared" ca="1" si="66"/>
        <v>0.11046</v>
      </c>
      <c r="AF31" s="74">
        <f t="shared" ca="1" si="67"/>
        <v>0.14660278726809717</v>
      </c>
      <c r="AG31" s="75"/>
      <c r="AH31" s="74">
        <f ca="1">Jaargegevens!R33</f>
        <v>0.24214180902145735</v>
      </c>
      <c r="AI31" s="74">
        <f t="shared" ca="1" si="68"/>
        <v>0.11046</v>
      </c>
      <c r="AJ31" s="74">
        <f t="shared" ca="1" si="69"/>
        <v>0.35260180902145732</v>
      </c>
      <c r="AL31" s="74">
        <f t="shared" ca="1" si="22"/>
        <v>0.13914229814477724</v>
      </c>
      <c r="AM31" s="74">
        <f t="shared" ca="1" si="23"/>
        <v>0.11046</v>
      </c>
      <c r="AN31" s="74">
        <f t="shared" ca="1" si="24"/>
        <v>0.24960229814477725</v>
      </c>
      <c r="AP31" s="20">
        <f>Calculator!$R$38</f>
        <v>4500</v>
      </c>
      <c r="AQ31" s="20">
        <f t="shared" ca="1" si="25"/>
        <v>0</v>
      </c>
      <c r="AR31" s="20">
        <f t="shared" ca="1" si="70"/>
        <v>4500</v>
      </c>
      <c r="AT31" s="20">
        <f ca="1">MIN(MAX(0,-Jaargegevens!U33),365)</f>
        <v>0</v>
      </c>
      <c r="AU31" s="20">
        <f ca="1">MAX(0,(Opbrengsten!AT31/365)*Calculator!$R$71)</f>
        <v>0</v>
      </c>
      <c r="AV31" s="26">
        <f ca="1">Jaargegevens!X33</f>
        <v>3.5</v>
      </c>
      <c r="AW31" s="20">
        <f t="shared" ca="1" si="71"/>
        <v>0</v>
      </c>
      <c r="AY31" s="20">
        <f t="shared" ca="1" si="1"/>
        <v>3500</v>
      </c>
      <c r="AZ31" s="20">
        <f>Calculator!$R$34</f>
        <v>3500</v>
      </c>
      <c r="BA31" s="97">
        <f>Calculator!$V$36</f>
        <v>0.2857142857142857</v>
      </c>
      <c r="BB31" s="96">
        <f>Calculator!$R$36</f>
        <v>1000</v>
      </c>
      <c r="BC31" s="214">
        <f ca="1">MIN(Calculator!$R$32,R31)</f>
        <v>2500</v>
      </c>
      <c r="BD31" s="20">
        <f t="shared" ca="1" si="72"/>
        <v>4500</v>
      </c>
      <c r="BE31" s="214">
        <f t="shared" ca="1" si="29"/>
        <v>3500</v>
      </c>
      <c r="BG31" s="28">
        <f t="shared" ca="1" si="73"/>
        <v>2500</v>
      </c>
      <c r="BH31" s="28">
        <f t="shared" ca="1" si="2"/>
        <v>8085.0989613261199</v>
      </c>
      <c r="BI31" s="28">
        <f t="shared" ca="1" si="74"/>
        <v>2500</v>
      </c>
      <c r="BJ31" s="74">
        <f ca="1">IF(B31&lt;=Jaargegevens!$M$7,Calculator!$S$49,AH31+Jaargegevens!S33+Jaargegevens!J33)</f>
        <v>0.24214180902145735</v>
      </c>
      <c r="BL31" s="20" t="str">
        <f ca="1">IF(Calculator!$R$118&lt;=B31,Keuzemenu!$I$18,Keuzemenu!$I$17)</f>
        <v>Ja</v>
      </c>
      <c r="BM31" s="76">
        <f ca="1">Jaargegevens!AB33</f>
        <v>14</v>
      </c>
      <c r="BN31" s="26">
        <f ca="1">IF(Calculator!R$102/4&lt;Q31,Calculator!R$102*(BM31/60),Q31)</f>
        <v>2.3333333333333335</v>
      </c>
      <c r="BO31" s="20">
        <f t="shared" ca="1" si="75"/>
        <v>81760</v>
      </c>
      <c r="BP31" s="20">
        <f t="shared" ca="1" si="76"/>
        <v>2085.0989613261199</v>
      </c>
      <c r="BQ31" s="20">
        <f t="shared" ca="1" si="77"/>
        <v>2085.0989613261199</v>
      </c>
      <c r="BR31" s="77">
        <f t="shared" ca="1" si="3"/>
        <v>0.14660278726809717</v>
      </c>
      <c r="BS31" s="74">
        <f ca="1">Jaargegevens!R33+Jaargegevens!AD33+Jaargegevens!J33</f>
        <v>0.44214180902145739</v>
      </c>
      <c r="BT31" s="74">
        <f t="shared" ca="1" si="78"/>
        <v>0.29553902175336022</v>
      </c>
      <c r="BU31" s="29">
        <f ca="1">Jaargegevens!AF33</f>
        <v>0.85</v>
      </c>
      <c r="BV31" s="74">
        <f t="shared" ca="1" si="79"/>
        <v>0.25120816849035615</v>
      </c>
      <c r="BW31" s="30"/>
      <c r="BX31" s="31">
        <f t="shared" ca="1" si="4"/>
        <v>-128.653637808273</v>
      </c>
      <c r="BY31" s="31">
        <f t="shared" ca="1" si="37"/>
        <v>720.9965761367605</v>
      </c>
      <c r="BZ31" s="31">
        <f t="shared" ca="1" si="80"/>
        <v>605.35452255364339</v>
      </c>
      <c r="CA31" s="32">
        <f t="shared" ca="1" si="81"/>
        <v>523.79389119587859</v>
      </c>
      <c r="CB31" s="32">
        <f t="shared" ca="1" si="82"/>
        <v>0</v>
      </c>
      <c r="CC31" s="32">
        <f t="shared" ca="1" si="41"/>
        <v>58.114034165149747</v>
      </c>
      <c r="CD31" s="33">
        <f t="shared" ca="1" si="42"/>
        <v>1780</v>
      </c>
      <c r="CE31" s="33">
        <f ca="1">IF(CD31&lt;&gt;"",SUM(CD$12:CD31),"")</f>
        <v>33246</v>
      </c>
      <c r="CH31" s="78">
        <f t="shared" ca="1" si="5"/>
        <v>8085.0989613261199</v>
      </c>
      <c r="CI31" s="78">
        <f t="shared" ca="1" si="83"/>
        <v>2500</v>
      </c>
      <c r="CJ31" s="78">
        <f t="shared" ca="1" si="84"/>
        <v>5585.0989613261199</v>
      </c>
      <c r="CK31" s="78">
        <f ca="1">Jaargegevens!G33</f>
        <v>10000</v>
      </c>
      <c r="CL31" s="78">
        <f t="shared" ca="1" si="85"/>
        <v>0</v>
      </c>
      <c r="CM31" s="79">
        <f ca="1">Jaargegevens!F33-Jaargegevens!H33</f>
        <v>2.6520000000000002E-2</v>
      </c>
      <c r="CN31" s="33">
        <f t="shared" ca="1" si="86"/>
        <v>0</v>
      </c>
      <c r="CO31" s="33"/>
      <c r="CP31" s="78">
        <f t="shared" ca="1" si="6"/>
        <v>8085.0989613261199</v>
      </c>
      <c r="CQ31" s="78">
        <f t="shared" ca="1" si="87"/>
        <v>2500</v>
      </c>
      <c r="CR31" s="78">
        <f t="shared" ca="1" si="88"/>
        <v>5585.0989613261199</v>
      </c>
      <c r="CS31" s="79">
        <f t="shared" ca="1" si="9"/>
        <v>0.14660278726809717</v>
      </c>
      <c r="CT31" s="33">
        <f t="shared" ca="1" si="89"/>
        <v>818.79107489856358</v>
      </c>
      <c r="CU31" s="78"/>
      <c r="CV31" s="78">
        <f t="shared" ca="1" si="90"/>
        <v>8085.0989613261199</v>
      </c>
      <c r="CW31" s="78">
        <f t="shared" ca="1" si="10"/>
        <v>323.40395845304511</v>
      </c>
      <c r="CX31" s="78">
        <f t="shared" ca="1" si="91"/>
        <v>7761.6950028730753</v>
      </c>
      <c r="CY31" s="78">
        <f t="shared" ca="1" si="92"/>
        <v>3500</v>
      </c>
      <c r="CZ31" s="79">
        <f t="shared" ca="1" si="12"/>
        <v>0.35260180902145732</v>
      </c>
      <c r="DA31" s="33">
        <f t="shared" ca="1" si="93"/>
        <v>1234.1063315751007</v>
      </c>
      <c r="DB31" s="78">
        <f t="shared" ca="1" si="94"/>
        <v>2500</v>
      </c>
      <c r="DC31" s="79">
        <f t="shared" ca="1" si="95"/>
        <v>0.24214180902145735</v>
      </c>
      <c r="DD31" s="33">
        <f t="shared" ca="1" si="96"/>
        <v>605.35452255364339</v>
      </c>
      <c r="DE31" s="78">
        <f t="shared" ca="1" si="52"/>
        <v>1761.6950028730753</v>
      </c>
      <c r="DF31" s="79">
        <f t="shared" ca="1" si="97"/>
        <v>0.39781095575845332</v>
      </c>
      <c r="DG31" s="33">
        <f t="shared" ca="1" si="98"/>
        <v>700.8215728478292</v>
      </c>
      <c r="DH31" s="33">
        <f t="shared" ca="1" si="99"/>
        <v>2540.2824269765733</v>
      </c>
      <c r="DJ31" s="32">
        <f t="shared" ca="1" si="100"/>
        <v>1721.4913520780096</v>
      </c>
      <c r="DK31" s="32">
        <f t="shared" ca="1" si="101"/>
        <v>0</v>
      </c>
      <c r="DL31" s="32">
        <f t="shared" ca="1" si="102"/>
        <v>58.114034165149747</v>
      </c>
      <c r="DM31" s="32"/>
      <c r="DN31" s="33">
        <f t="shared" ca="1" si="62"/>
        <v>1780</v>
      </c>
    </row>
    <row r="32" spans="1:118">
      <c r="A32" s="19">
        <v>21</v>
      </c>
      <c r="B32" s="19">
        <f ca="1">Jaargegevens!A34</f>
        <v>2045</v>
      </c>
      <c r="C32" s="20" t="str">
        <f>IF(A32&gt;Calculator!$R$96,"Nee",IF(H31&lt;K32,"Ja","Nee"))</f>
        <v>Nee</v>
      </c>
      <c r="D32" s="23">
        <f ca="1">Jaargegevens!D34</f>
        <v>2.5000000000000001E-2</v>
      </c>
      <c r="F32" s="212">
        <f ca="1">Cycli!Q30</f>
        <v>1.5</v>
      </c>
      <c r="G32" s="20">
        <f ca="1">F32*365*D5</f>
        <v>501</v>
      </c>
      <c r="H32" s="20">
        <f ca="1">SUM(G$12:G32)</f>
        <v>10950</v>
      </c>
      <c r="I32" s="25">
        <f>Calculator!$R$94</f>
        <v>0.96</v>
      </c>
      <c r="K32" s="24">
        <f t="shared" si="59"/>
        <v>10000</v>
      </c>
      <c r="L32" s="25">
        <f>Calculator!$R$100</f>
        <v>0.7</v>
      </c>
      <c r="M32" s="169">
        <f ca="1">Degradatie!F36</f>
        <v>2.163302296066046E-3</v>
      </c>
      <c r="N32" s="169">
        <f ca="1">SUM(M$10:M32)</f>
        <v>0.32850000000004281</v>
      </c>
      <c r="O32" s="170"/>
      <c r="P32" s="169">
        <f t="shared" ca="1" si="63"/>
        <v>0.67258165114799018</v>
      </c>
      <c r="Q32" s="26">
        <f ca="1">P32*Calculator!$R$92</f>
        <v>14.695909077583586</v>
      </c>
      <c r="R32" s="20">
        <f t="shared" ca="1" si="64"/>
        <v>7362.6504478693769</v>
      </c>
      <c r="S32" s="20">
        <f ca="1">SUM(R$12:R32)</f>
        <v>190556.65565305197</v>
      </c>
      <c r="U32" s="27">
        <f ca="1">U31*(1+D31)*D5</f>
        <v>272.17551338324796</v>
      </c>
      <c r="V32" s="27">
        <f ca="1">IF(Calculator!$R$73&gt;0,(Jaargegevens!L34+Jaargegevens!M34)*12*D5,Jaargegevens!L34*12*D5)</f>
        <v>217.66773366697672</v>
      </c>
      <c r="X32" s="74">
        <f t="shared" ca="1" si="17"/>
        <v>9.4545883611154818E-2</v>
      </c>
      <c r="Y32" s="74">
        <f ca="1">Jaargegevens!F34</f>
        <v>0.11046</v>
      </c>
      <c r="Z32" s="74">
        <f t="shared" ca="1" si="65"/>
        <v>0.20500588361115482</v>
      </c>
      <c r="AA32" s="74">
        <f ca="1">IF(Calculator!$R$25="Dynamisch",Opbrengsten!Z32,AA31*(1+D31))</f>
        <v>0.24819535424699377</v>
      </c>
      <c r="AB32" s="74">
        <f ca="1">IF(Calculator!$R$25="Dynamisch",0,AB31*(1+D31))</f>
        <v>0.23164899729719424</v>
      </c>
      <c r="AC32" s="75"/>
      <c r="AD32" s="74">
        <f ca="1">Jaargegevens!O34+Jaargegevens!P34</f>
        <v>3.6546356949799581E-2</v>
      </c>
      <c r="AE32" s="74">
        <f t="shared" ca="1" si="66"/>
        <v>0.11046</v>
      </c>
      <c r="AF32" s="74">
        <f t="shared" ca="1" si="67"/>
        <v>0.14700635694979958</v>
      </c>
      <c r="AG32" s="75"/>
      <c r="AH32" s="74">
        <f ca="1">Jaargegevens!R34</f>
        <v>0.24819535424699377</v>
      </c>
      <c r="AI32" s="74">
        <f t="shared" ca="1" si="68"/>
        <v>0.11046</v>
      </c>
      <c r="AJ32" s="74">
        <f t="shared" ca="1" si="69"/>
        <v>0.3586553542469938</v>
      </c>
      <c r="AL32" s="74">
        <f t="shared" ca="1" si="22"/>
        <v>0.14237085559839668</v>
      </c>
      <c r="AM32" s="74">
        <f t="shared" ca="1" si="23"/>
        <v>0.11046</v>
      </c>
      <c r="AN32" s="74">
        <f t="shared" ca="1" si="24"/>
        <v>0.25283085559839669</v>
      </c>
      <c r="AP32" s="20">
        <f ca="1">Calculator!$R$38*D5</f>
        <v>4117.8082191780823</v>
      </c>
      <c r="AQ32" s="20">
        <f t="shared" ca="1" si="25"/>
        <v>0</v>
      </c>
      <c r="AR32" s="20">
        <f t="shared" ca="1" si="70"/>
        <v>4117.8082191780823</v>
      </c>
      <c r="AT32" s="20">
        <f ca="1">MIN(MAX(0,-Jaargegevens!U34),365)*D5</f>
        <v>0</v>
      </c>
      <c r="AU32" s="20">
        <f ca="1">MAX(0,(Opbrengsten!AT32/365)*Calculator!$R$71)</f>
        <v>0</v>
      </c>
      <c r="AV32" s="26">
        <f ca="1">Jaargegevens!X34</f>
        <v>3.5</v>
      </c>
      <c r="AW32" s="20">
        <f t="shared" ca="1" si="71"/>
        <v>0</v>
      </c>
      <c r="AY32" s="20">
        <f t="shared" ca="1" si="1"/>
        <v>3202.7397260273974</v>
      </c>
      <c r="AZ32" s="20">
        <f ca="1">Calculator!$R$34*D5</f>
        <v>3202.7397260273974</v>
      </c>
      <c r="BA32" s="97">
        <f>Calculator!$V$36</f>
        <v>0.2857142857142857</v>
      </c>
      <c r="BB32" s="96">
        <f ca="1">Calculator!$R$36*D5</f>
        <v>915.06849315068496</v>
      </c>
      <c r="BC32" s="214">
        <f ca="1">MIN(Calculator!$R$32*D5,R32)</f>
        <v>2287.6712328767126</v>
      </c>
      <c r="BD32" s="20">
        <f t="shared" ca="1" si="72"/>
        <v>4117.8082191780823</v>
      </c>
      <c r="BE32" s="214">
        <f t="shared" ca="1" si="29"/>
        <v>3202.7397260273974</v>
      </c>
      <c r="BG32" s="28">
        <f t="shared" ca="1" si="73"/>
        <v>2287.6712328767126</v>
      </c>
      <c r="BH32" s="28">
        <f t="shared" ca="1" si="2"/>
        <v>7362.6504478693769</v>
      </c>
      <c r="BI32" s="28">
        <f t="shared" ca="1" si="74"/>
        <v>2287.6712328767126</v>
      </c>
      <c r="BJ32" s="74">
        <f ca="1">IF(B32&lt;=Jaargegevens!$M$7,Calculator!$S$49,AH32+Jaargegevens!S34+Jaargegevens!J34)</f>
        <v>0.24819535424699377</v>
      </c>
      <c r="BL32" s="20" t="str">
        <f ca="1">IF(Calculator!$R$118&lt;=B32,Keuzemenu!$I$18,Keuzemenu!$I$17)</f>
        <v>Ja</v>
      </c>
      <c r="BM32" s="76">
        <f ca="1">Jaargegevens!AB34</f>
        <v>14</v>
      </c>
      <c r="BN32" s="26">
        <f ca="1">IF(Calculator!R$102/4&lt;Q32,Calculator!R$102*(BM32/60),Q32)</f>
        <v>2.3333333333333335</v>
      </c>
      <c r="BO32" s="20">
        <f ca="1">IF(BL32="Ja",365*24*4*BN32,0)*D5</f>
        <v>74816</v>
      </c>
      <c r="BP32" s="20">
        <f t="shared" ca="1" si="76"/>
        <v>1872.2394889652669</v>
      </c>
      <c r="BQ32" s="20">
        <f t="shared" ca="1" si="77"/>
        <v>1872.2394889652669</v>
      </c>
      <c r="BR32" s="77">
        <f t="shared" ca="1" si="3"/>
        <v>0.14700635694979958</v>
      </c>
      <c r="BS32" s="74">
        <f ca="1">Jaargegevens!R34+Jaargegevens!AD34+Jaargegevens!J34</f>
        <v>0.44819535424699375</v>
      </c>
      <c r="BT32" s="74">
        <f t="shared" ca="1" si="78"/>
        <v>0.30118899729719417</v>
      </c>
      <c r="BU32" s="29">
        <f ca="1">Jaargegevens!AF34</f>
        <v>0.85</v>
      </c>
      <c r="BV32" s="74">
        <f t="shared" ca="1" si="79"/>
        <v>0.25601064770261506</v>
      </c>
      <c r="BW32" s="30"/>
      <c r="BX32" s="31">
        <f t="shared" ca="1" si="4"/>
        <v>-118.69093319212311</v>
      </c>
      <c r="BY32" s="31">
        <f t="shared" ca="1" si="37"/>
        <v>677.85665161758914</v>
      </c>
      <c r="BZ32" s="31">
        <f t="shared" ca="1" si="80"/>
        <v>567.78937204449267</v>
      </c>
      <c r="CA32" s="32">
        <f t="shared" ca="1" si="81"/>
        <v>479.31324422441099</v>
      </c>
      <c r="CB32" s="32">
        <f t="shared" ca="1" si="82"/>
        <v>0</v>
      </c>
      <c r="CC32" s="32">
        <f t="shared" ca="1" si="41"/>
        <v>54.507779716271244</v>
      </c>
      <c r="CD32" s="33">
        <f t="shared" ca="1" si="42"/>
        <v>1661</v>
      </c>
      <c r="CE32" s="33">
        <f ca="1">IF(CD32&lt;&gt;"",SUM(CD$12:CD32),"")</f>
        <v>34907</v>
      </c>
      <c r="CH32" s="78">
        <f t="shared" ca="1" si="5"/>
        <v>7362.6504478693769</v>
      </c>
      <c r="CI32" s="78">
        <f t="shared" ca="1" si="83"/>
        <v>2287.6712328767126</v>
      </c>
      <c r="CJ32" s="78">
        <f t="shared" ca="1" si="84"/>
        <v>5074.9792149926643</v>
      </c>
      <c r="CK32" s="78">
        <f ca="1">Jaargegevens!G34</f>
        <v>10000</v>
      </c>
      <c r="CL32" s="78">
        <f t="shared" ca="1" si="85"/>
        <v>0</v>
      </c>
      <c r="CM32" s="79">
        <f ca="1">Jaargegevens!F34-Jaargegevens!H34</f>
        <v>2.6520000000000002E-2</v>
      </c>
      <c r="CN32" s="33">
        <f t="shared" ca="1" si="86"/>
        <v>0</v>
      </c>
      <c r="CO32" s="33"/>
      <c r="CP32" s="78">
        <f t="shared" ca="1" si="6"/>
        <v>7362.6504478693769</v>
      </c>
      <c r="CQ32" s="78">
        <f t="shared" ca="1" si="87"/>
        <v>2287.6712328767126</v>
      </c>
      <c r="CR32" s="78">
        <f t="shared" ca="1" si="88"/>
        <v>5074.9792149926643</v>
      </c>
      <c r="CS32" s="79">
        <f t="shared" ca="1" si="9"/>
        <v>0.14700635694979958</v>
      </c>
      <c r="CT32" s="33">
        <f t="shared" ca="1" si="89"/>
        <v>746.05420599202523</v>
      </c>
      <c r="CU32" s="78"/>
      <c r="CV32" s="78">
        <f t="shared" ca="1" si="90"/>
        <v>7362.6504478693769</v>
      </c>
      <c r="CW32" s="78">
        <f t="shared" ca="1" si="10"/>
        <v>294.50601791477533</v>
      </c>
      <c r="CX32" s="78">
        <f t="shared" ca="1" si="91"/>
        <v>7068.1444299546019</v>
      </c>
      <c r="CY32" s="78">
        <f t="shared" ca="1" si="92"/>
        <v>3202.7397260273974</v>
      </c>
      <c r="CZ32" s="79">
        <f t="shared" ca="1" si="12"/>
        <v>0.3586553542469938</v>
      </c>
      <c r="DA32" s="33">
        <f t="shared" ca="1" si="93"/>
        <v>1148.6797509992762</v>
      </c>
      <c r="DB32" s="78">
        <f t="shared" ca="1" si="94"/>
        <v>2287.6712328767126</v>
      </c>
      <c r="DC32" s="79">
        <f t="shared" ca="1" si="95"/>
        <v>0.24819535424699377</v>
      </c>
      <c r="DD32" s="33">
        <f t="shared" ca="1" si="96"/>
        <v>567.78937204449267</v>
      </c>
      <c r="DE32" s="78">
        <f t="shared" ca="1" si="52"/>
        <v>1577.733471050492</v>
      </c>
      <c r="DF32" s="79">
        <f t="shared" ca="1" si="97"/>
        <v>0.40301700465241463</v>
      </c>
      <c r="DG32" s="33">
        <f t="shared" ca="1" si="98"/>
        <v>635.85341764262637</v>
      </c>
      <c r="DH32" s="33">
        <f t="shared" ca="1" si="99"/>
        <v>2352.3225406863953</v>
      </c>
      <c r="DJ32" s="32">
        <f t="shared" ca="1" si="100"/>
        <v>1606.26833469437</v>
      </c>
      <c r="DK32" s="32">
        <f t="shared" ca="1" si="101"/>
        <v>0</v>
      </c>
      <c r="DL32" s="32">
        <f t="shared" ca="1" si="102"/>
        <v>54.507779716271244</v>
      </c>
      <c r="DM32" s="32"/>
      <c r="DN32" s="33">
        <f t="shared" ca="1" si="62"/>
        <v>1661</v>
      </c>
    </row>
    <row r="33" spans="4:118">
      <c r="D33" s="17"/>
      <c r="K33" s="34"/>
      <c r="L33" s="34"/>
      <c r="P33" s="11"/>
      <c r="Q33" s="11"/>
      <c r="U33" s="17"/>
      <c r="V33" s="17"/>
      <c r="X33" s="17"/>
      <c r="Y33" s="17"/>
      <c r="Z33" s="17"/>
      <c r="AA33" s="17"/>
      <c r="AB33" s="17"/>
      <c r="AD33" s="17"/>
      <c r="AE33" s="17"/>
      <c r="AF33" s="17"/>
      <c r="AH33" s="17"/>
      <c r="AI33" s="17"/>
      <c r="AJ33" s="17"/>
      <c r="AL33" s="17"/>
      <c r="AM33" s="17"/>
      <c r="AN33" s="17"/>
      <c r="CA33" s="10"/>
      <c r="CB33" s="10"/>
      <c r="CC33" s="10"/>
      <c r="CD33" s="10"/>
      <c r="CE33" s="17"/>
      <c r="CN33" s="80"/>
      <c r="CS33" s="80"/>
      <c r="CT33" s="33"/>
      <c r="CZ33" s="80"/>
      <c r="DC33" s="80"/>
      <c r="DF33" s="80"/>
      <c r="DJ33" s="10"/>
      <c r="DK33" s="10"/>
      <c r="DL33" s="10"/>
      <c r="DM33" s="10"/>
    </row>
    <row r="34" spans="4:118">
      <c r="D34" s="17"/>
      <c r="K34" s="34"/>
      <c r="L34" s="34"/>
      <c r="P34" s="11"/>
      <c r="Q34" s="11"/>
      <c r="U34" s="17"/>
      <c r="V34" s="17"/>
      <c r="X34" s="17"/>
      <c r="Y34" s="17"/>
      <c r="Z34" s="17"/>
      <c r="AA34" s="17"/>
      <c r="AB34" s="17"/>
      <c r="AD34" s="17"/>
      <c r="AE34" s="17"/>
      <c r="AF34" s="17"/>
      <c r="AH34" s="17"/>
      <c r="AI34" s="17"/>
      <c r="AJ34" s="17"/>
      <c r="AL34" s="17"/>
      <c r="AM34" s="17"/>
      <c r="AN34" s="17"/>
      <c r="BX34" s="10">
        <f t="shared" ref="BX34:CD34" ca="1" si="103">SUM(BX12:BX33)</f>
        <v>-2768.0357129114363</v>
      </c>
      <c r="BY34" s="10">
        <f t="shared" ca="1" si="103"/>
        <v>11526.505906101524</v>
      </c>
      <c r="BZ34" s="10">
        <f t="shared" ca="1" si="103"/>
        <v>9880.7341118123877</v>
      </c>
      <c r="CA34" s="10">
        <f t="shared" ca="1" si="103"/>
        <v>15318.25789582471</v>
      </c>
      <c r="CB34" s="10">
        <f t="shared" ca="1" si="103"/>
        <v>0</v>
      </c>
      <c r="CC34" s="10">
        <f t="shared" ca="1" si="103"/>
        <v>949.70247473398899</v>
      </c>
      <c r="CD34" s="10">
        <f t="shared" ca="1" si="103"/>
        <v>34907</v>
      </c>
      <c r="CE34" s="17"/>
      <c r="CN34" s="33">
        <f ca="1">SUM(CN12:CN33)</f>
        <v>0</v>
      </c>
      <c r="CS34" s="33"/>
      <c r="CT34" s="33">
        <f t="shared" ref="CT34" ca="1" si="104">SUM(CT12:CT33)</f>
        <v>20157.448869246309</v>
      </c>
      <c r="CZ34" s="33"/>
      <c r="DC34" s="33"/>
      <c r="DF34" s="33"/>
      <c r="DH34" s="136">
        <f ca="1">SUM(DH12:DH33)</f>
        <v>54114.911070073489</v>
      </c>
      <c r="DJ34" s="10">
        <f t="shared" ref="DJ34:DL34" ca="1" si="105">SUM(DJ12:DJ33)</f>
        <v>33957.462200827191</v>
      </c>
      <c r="DK34" s="10">
        <f t="shared" ref="DK34" ca="1" si="106">SUM(DK12:DK33)</f>
        <v>0</v>
      </c>
      <c r="DL34" s="10">
        <f t="shared" ca="1" si="105"/>
        <v>949.70247473398899</v>
      </c>
      <c r="DM34" s="10"/>
      <c r="DN34" s="136">
        <f ca="1">SUM(DN12:DN33)</f>
        <v>34906.781647349912</v>
      </c>
    </row>
    <row r="35" spans="4:118">
      <c r="D35" s="17"/>
      <c r="K35" s="34"/>
      <c r="L35" s="34"/>
      <c r="P35" s="11"/>
      <c r="Q35" s="11"/>
      <c r="U35" s="17"/>
      <c r="V35" s="17"/>
      <c r="X35" s="17"/>
      <c r="Y35" s="17"/>
      <c r="Z35" s="17"/>
      <c r="AA35" s="17"/>
      <c r="AB35" s="17"/>
      <c r="AD35" s="17"/>
      <c r="AE35" s="17"/>
      <c r="AF35" s="17"/>
      <c r="AH35" s="17"/>
      <c r="AI35" s="17"/>
      <c r="AJ35" s="17"/>
      <c r="AL35" s="17"/>
      <c r="AM35" s="17"/>
      <c r="AN35" s="17"/>
      <c r="AV35" s="10">
        <f ca="1">IF(AT32="Nee",0,IF(AT28="Ja",1,0))</f>
        <v>0</v>
      </c>
      <c r="BO35" s="207" t="s">
        <v>483</v>
      </c>
      <c r="CA35" s="17"/>
      <c r="CB35" s="17"/>
      <c r="CC35" s="17"/>
      <c r="CD35" s="17"/>
      <c r="CE35" s="17"/>
      <c r="CN35" s="80"/>
      <c r="CS35" s="80"/>
      <c r="CZ35" s="80"/>
      <c r="DC35" s="80"/>
      <c r="DF35" s="80"/>
      <c r="DJ35" s="17"/>
      <c r="DK35" s="17"/>
      <c r="DL35" s="17"/>
      <c r="DM35" s="17"/>
    </row>
    <row r="36" spans="4:118">
      <c r="D36" s="17"/>
      <c r="K36" s="34"/>
      <c r="L36" s="34"/>
      <c r="P36" s="11"/>
      <c r="Q36" s="11"/>
      <c r="U36" s="17"/>
      <c r="V36" s="17"/>
      <c r="X36" s="17"/>
      <c r="Y36" s="17"/>
      <c r="Z36" s="17"/>
      <c r="AA36" s="17"/>
      <c r="AB36" s="17"/>
      <c r="AD36" s="17"/>
      <c r="AE36" s="17"/>
      <c r="AF36" s="17"/>
      <c r="AH36" s="17"/>
      <c r="AI36" s="17"/>
      <c r="AJ36" s="17"/>
      <c r="AL36" s="17"/>
      <c r="AM36" s="17"/>
      <c r="AN36" s="17"/>
      <c r="BO36" s="207" t="s">
        <v>484</v>
      </c>
      <c r="CA36" s="17"/>
      <c r="CB36" s="17"/>
      <c r="CC36" s="17"/>
      <c r="CD36" s="17"/>
      <c r="CE36" s="17"/>
      <c r="DJ36" s="17"/>
      <c r="DK36" s="17"/>
      <c r="DL36" s="17"/>
      <c r="DM36" s="17"/>
    </row>
    <row r="37" spans="4:118">
      <c r="D37" s="17"/>
      <c r="K37" s="34"/>
      <c r="L37" s="34"/>
      <c r="P37" s="11"/>
      <c r="Q37" s="11"/>
      <c r="U37" s="17"/>
      <c r="V37" s="17"/>
      <c r="X37" s="17"/>
      <c r="Y37" s="17"/>
      <c r="Z37" s="17"/>
      <c r="AA37" s="17"/>
      <c r="AB37" s="17"/>
      <c r="AD37" s="17"/>
      <c r="AE37" s="17"/>
      <c r="AF37" s="17"/>
      <c r="AH37" s="17"/>
      <c r="AI37" s="17"/>
      <c r="AJ37" s="17"/>
      <c r="AL37" s="17"/>
      <c r="AM37" s="17"/>
      <c r="AN37" s="17"/>
      <c r="BO37" s="207" t="s">
        <v>485</v>
      </c>
      <c r="CA37" s="17"/>
      <c r="CB37" s="17"/>
      <c r="CC37" s="17"/>
      <c r="CD37" s="17"/>
      <c r="CE37" s="17"/>
      <c r="DJ37" s="17"/>
      <c r="DK37" s="17"/>
      <c r="DL37" s="17"/>
      <c r="DM37" s="17"/>
    </row>
    <row r="38" spans="4:118">
      <c r="D38" s="17"/>
      <c r="K38" s="34"/>
      <c r="L38" s="34"/>
      <c r="P38" s="11"/>
      <c r="Q38" s="11"/>
      <c r="U38" s="17"/>
      <c r="V38" s="17"/>
      <c r="X38" s="17"/>
      <c r="Y38" s="17"/>
      <c r="Z38" s="17"/>
      <c r="AA38" s="17"/>
      <c r="AB38" s="17"/>
      <c r="AD38" s="17"/>
      <c r="AE38" s="17"/>
      <c r="AF38" s="17"/>
      <c r="AH38" s="17"/>
      <c r="AI38" s="17"/>
      <c r="AJ38" s="17"/>
      <c r="AL38" s="17"/>
      <c r="AM38" s="17"/>
      <c r="AN38" s="17"/>
      <c r="CA38" s="17"/>
      <c r="CB38" s="17"/>
      <c r="CC38" s="17"/>
      <c r="CD38" s="17"/>
      <c r="CE38" s="17"/>
      <c r="DJ38" s="17"/>
      <c r="DK38" s="17"/>
      <c r="DL38" s="17"/>
      <c r="DM38" s="17"/>
    </row>
    <row r="39" spans="4:118">
      <c r="D39" s="17"/>
      <c r="K39" s="34"/>
      <c r="L39" s="34"/>
      <c r="P39" s="11"/>
      <c r="Q39" s="11"/>
      <c r="U39" s="17"/>
      <c r="V39" s="17"/>
      <c r="X39" s="17"/>
      <c r="Y39" s="17"/>
      <c r="Z39" s="17"/>
      <c r="AA39" s="17"/>
      <c r="AB39" s="17"/>
      <c r="AD39" s="17"/>
      <c r="AE39" s="17"/>
      <c r="AF39" s="17"/>
      <c r="AH39" s="17"/>
      <c r="AI39" s="17"/>
      <c r="AJ39" s="17"/>
      <c r="AL39" s="17"/>
      <c r="AM39" s="17"/>
      <c r="AN39" s="17"/>
      <c r="AW39" s="95"/>
      <c r="CA39" s="17"/>
      <c r="CB39" s="17"/>
      <c r="CC39" s="17"/>
      <c r="CD39" s="17"/>
      <c r="CE39" s="17"/>
      <c r="DJ39" s="17"/>
      <c r="DK39" s="17"/>
      <c r="DL39" s="17"/>
      <c r="DM39" s="17"/>
    </row>
    <row r="40" spans="4:118">
      <c r="D40" s="17"/>
      <c r="K40" s="34"/>
      <c r="L40" s="34"/>
      <c r="P40" s="11"/>
      <c r="Q40" s="11"/>
      <c r="U40" s="17"/>
      <c r="V40" s="17"/>
      <c r="X40" s="17"/>
      <c r="Y40" s="17"/>
      <c r="Z40" s="17"/>
      <c r="AA40" s="17"/>
      <c r="AB40" s="17"/>
      <c r="AD40" s="17"/>
      <c r="AE40" s="17"/>
      <c r="AF40" s="17"/>
      <c r="AH40" s="17"/>
      <c r="AI40" s="17"/>
      <c r="AJ40" s="17"/>
      <c r="AL40" s="17"/>
      <c r="AM40" s="17"/>
      <c r="AN40" s="17"/>
      <c r="CA40" s="17"/>
      <c r="CB40" s="17"/>
      <c r="CC40" s="17"/>
      <c r="CD40" s="17"/>
      <c r="CE40" s="17"/>
      <c r="DJ40" s="17"/>
      <c r="DK40" s="17"/>
      <c r="DL40" s="17"/>
      <c r="DM40" s="17"/>
    </row>
    <row r="41" spans="4:118">
      <c r="D41" s="17"/>
      <c r="K41" s="34"/>
      <c r="L41" s="34"/>
      <c r="P41" s="11"/>
      <c r="Q41" s="11"/>
      <c r="U41" s="17"/>
      <c r="V41" s="17"/>
      <c r="X41" s="17"/>
      <c r="Y41" s="17"/>
      <c r="Z41" s="17"/>
      <c r="AA41" s="17"/>
      <c r="AB41" s="17"/>
      <c r="AD41" s="17"/>
      <c r="AE41" s="17"/>
      <c r="AF41" s="17"/>
      <c r="AH41" s="17"/>
      <c r="AI41" s="17"/>
      <c r="AJ41" s="17"/>
      <c r="AL41" s="17"/>
      <c r="AM41" s="17"/>
      <c r="AN41" s="17"/>
      <c r="CA41" s="17"/>
      <c r="CB41" s="17"/>
      <c r="CC41" s="17"/>
      <c r="CD41" s="17"/>
      <c r="CE41" s="17"/>
      <c r="DJ41" s="17"/>
      <c r="DK41" s="17"/>
      <c r="DL41" s="17"/>
      <c r="DM41" s="17"/>
    </row>
    <row r="42" spans="4:118">
      <c r="D42" s="17"/>
      <c r="K42" s="34"/>
      <c r="L42" s="34"/>
      <c r="P42" s="11"/>
      <c r="Q42" s="11"/>
      <c r="U42" s="17"/>
      <c r="V42" s="17"/>
      <c r="X42" s="17"/>
      <c r="Y42" s="17"/>
      <c r="Z42" s="17"/>
      <c r="AA42" s="17"/>
      <c r="AB42" s="17"/>
      <c r="AD42" s="17"/>
      <c r="AE42" s="17"/>
      <c r="AF42" s="17"/>
      <c r="AH42" s="17"/>
      <c r="AI42" s="17"/>
      <c r="AJ42" s="17"/>
      <c r="AL42" s="17"/>
      <c r="AM42" s="17"/>
      <c r="AN42" s="17"/>
      <c r="CA42" s="17"/>
      <c r="CB42" s="17"/>
      <c r="CC42" s="17"/>
      <c r="CD42" s="17"/>
      <c r="CE42" s="17"/>
      <c r="DJ42" s="17"/>
      <c r="DK42" s="17"/>
      <c r="DL42" s="17"/>
      <c r="DM42" s="17"/>
    </row>
    <row r="43" spans="4:118">
      <c r="D43" s="17"/>
      <c r="K43" s="34"/>
      <c r="L43" s="34"/>
      <c r="P43" s="11"/>
      <c r="Q43" s="11"/>
      <c r="U43" s="17"/>
      <c r="V43" s="17"/>
      <c r="X43" s="17"/>
      <c r="Y43" s="17"/>
      <c r="Z43" s="17"/>
      <c r="AA43" s="17"/>
      <c r="AB43" s="17"/>
      <c r="AD43" s="17"/>
      <c r="AE43" s="17"/>
      <c r="AF43" s="17"/>
      <c r="AH43" s="17"/>
      <c r="AI43" s="17"/>
      <c r="AJ43" s="17"/>
      <c r="AL43" s="17"/>
      <c r="AM43" s="17"/>
      <c r="AN43" s="17"/>
      <c r="CA43" s="17"/>
      <c r="CB43" s="17"/>
      <c r="CC43" s="17"/>
      <c r="CD43" s="17"/>
      <c r="CE43" s="17"/>
      <c r="DJ43" s="17"/>
      <c r="DK43" s="17"/>
      <c r="DL43" s="17"/>
      <c r="DM43" s="17"/>
    </row>
    <row r="44" spans="4:118">
      <c r="D44" s="17"/>
      <c r="K44" s="34"/>
      <c r="L44" s="34"/>
      <c r="P44" s="11"/>
      <c r="Q44" s="11"/>
      <c r="U44" s="17"/>
      <c r="V44" s="17"/>
      <c r="X44" s="17"/>
      <c r="Y44" s="17"/>
      <c r="Z44" s="17"/>
      <c r="AA44" s="17"/>
      <c r="AB44" s="17"/>
      <c r="AD44" s="17"/>
      <c r="AE44" s="17"/>
      <c r="AF44" s="17"/>
      <c r="AH44" s="17"/>
      <c r="AI44" s="17"/>
      <c r="AJ44" s="17"/>
      <c r="AL44" s="17"/>
      <c r="AM44" s="17"/>
      <c r="AN44" s="17"/>
      <c r="CA44" s="17"/>
      <c r="CB44" s="17"/>
      <c r="CC44" s="17"/>
      <c r="CD44" s="17"/>
      <c r="CE44" s="17"/>
      <c r="DJ44" s="17"/>
      <c r="DK44" s="17"/>
      <c r="DL44" s="17"/>
      <c r="DM44" s="17"/>
    </row>
    <row r="45" spans="4:118">
      <c r="D45" s="17"/>
      <c r="K45" s="34"/>
      <c r="L45" s="34"/>
      <c r="P45" s="11"/>
      <c r="Q45" s="11"/>
      <c r="U45" s="17"/>
      <c r="V45" s="17"/>
      <c r="X45" s="17"/>
      <c r="Y45" s="17"/>
      <c r="Z45" s="17"/>
      <c r="AA45" s="17"/>
      <c r="AB45" s="17"/>
      <c r="AD45" s="17"/>
      <c r="AE45" s="17"/>
      <c r="AF45" s="17"/>
      <c r="AH45" s="17"/>
      <c r="AI45" s="17"/>
      <c r="AJ45" s="17"/>
      <c r="AL45" s="17"/>
      <c r="AM45" s="17"/>
      <c r="AN45" s="17"/>
      <c r="CA45" s="17"/>
      <c r="CB45" s="17"/>
      <c r="CC45" s="17"/>
      <c r="CD45" s="17"/>
      <c r="CE45" s="17"/>
      <c r="DJ45" s="17"/>
      <c r="DK45" s="17"/>
      <c r="DL45" s="17"/>
      <c r="DM45" s="17"/>
    </row>
  </sheetData>
  <mergeCells count="23">
    <mergeCell ref="AL7:AN7"/>
    <mergeCell ref="BG5:BV5"/>
    <mergeCell ref="BX7:CE7"/>
    <mergeCell ref="AY7:BE7"/>
    <mergeCell ref="AP5:AX5"/>
    <mergeCell ref="AT7:AW7"/>
    <mergeCell ref="AP7:AR7"/>
    <mergeCell ref="K7:N7"/>
    <mergeCell ref="X5:AJ5"/>
    <mergeCell ref="U5:V5"/>
    <mergeCell ref="P7:S7"/>
    <mergeCell ref="AD7:AF7"/>
    <mergeCell ref="AH7:AJ7"/>
    <mergeCell ref="X7:AB7"/>
    <mergeCell ref="U7:V7"/>
    <mergeCell ref="F5:S5"/>
    <mergeCell ref="F7:H7"/>
    <mergeCell ref="CH7:CN7"/>
    <mergeCell ref="CP7:CT7"/>
    <mergeCell ref="CV7:DH7"/>
    <mergeCell ref="DJ7:DL7"/>
    <mergeCell ref="BG7:BJ7"/>
    <mergeCell ref="BL7:BV7"/>
  </mergeCells>
  <dataValidations disablePrompts="1" count="2">
    <dataValidation type="decimal" allowBlank="1" showInputMessage="1" showErrorMessage="1" errorTitle="Fout" error="Deze waarde valt niet binnen de realistische bandbreedte." sqref="BF5" xr:uid="{772C7D7E-165B-DF49-8922-528EEF5F5619}">
      <formula1>0</formula1>
      <formula2>4</formula2>
    </dataValidation>
    <dataValidation type="decimal" allowBlank="1" showInputMessage="1" showErrorMessage="1" errorTitle="Fout" error="Deze waarde valt niet binnen de realistische bandbreedte." sqref="BJ11:BV11 AE6:AF6 AE11:AF11 AI11:AJ11 BF6 BF11 BJ6:BV6 AI6:AJ6 V6 V11 Y6:AC6 Y11:AC11 AM11:AN11 AM6:AN6" xr:uid="{BD7AF921-53EB-B545-A4F1-B54D6D0134A4}">
      <formula1>0</formula1>
      <formula2>0.5</formula2>
    </dataValidation>
  </dataValidations>
  <printOptions headings="1"/>
  <pageMargins left="0.31496062992125984" right="0.31496062992125984" top="0.74803149606299213" bottom="0.74803149606299213" header="0.31496062992125984" footer="0.31496062992125984"/>
  <pageSetup paperSize="9" scale="60" fitToWidth="0" orientation="landscape" r:id="rId1"/>
  <colBreaks count="5" manualBreakCount="5">
    <brk id="20" max="31" man="1"/>
    <brk id="41" max="31" man="1"/>
    <brk id="50" max="31" man="1"/>
    <brk id="66" max="31" man="1"/>
    <brk id="85" max="33" man="1"/>
  </colBreak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41A22-5A1E-4C49-8DA0-0B7CA9A80541}">
  <sheetPr>
    <pageSetUpPr fitToPage="1"/>
  </sheetPr>
  <dimension ref="B1:Z29"/>
  <sheetViews>
    <sheetView zoomScale="110" zoomScaleNormal="90" workbookViewId="0">
      <pane ySplit="5" topLeftCell="A6" activePane="bottomLeft" state="frozen"/>
      <selection activeCell="O90" sqref="O90:T90"/>
      <selection pane="bottomLeft" activeCell="A6" sqref="A6"/>
    </sheetView>
  </sheetViews>
  <sheetFormatPr baseColWidth="10" defaultColWidth="10.83203125" defaultRowHeight="16"/>
  <cols>
    <col min="1" max="1" width="1" style="35" customWidth="1"/>
    <col min="2" max="2" width="10.83203125" style="11"/>
    <col min="3" max="3" width="10.1640625" style="11" customWidth="1"/>
    <col min="4" max="4" width="1" style="9" customWidth="1"/>
    <col min="5" max="6" width="11.83203125" style="40" customWidth="1"/>
    <col min="7" max="7" width="1" style="9" customWidth="1"/>
    <col min="8" max="11" width="11.83203125" style="11" customWidth="1"/>
    <col min="12" max="12" width="1" style="9" customWidth="1"/>
    <col min="13" max="13" width="12.6640625" style="35" customWidth="1"/>
    <col min="14" max="14" width="12.6640625" style="11" bestFit="1" customWidth="1"/>
    <col min="15" max="15" width="11.83203125" style="35" bestFit="1" customWidth="1"/>
    <col min="16" max="16" width="12.6640625" style="11" bestFit="1" customWidth="1"/>
    <col min="17" max="17" width="12.1640625" style="35" bestFit="1" customWidth="1"/>
    <col min="18" max="18" width="12.6640625" style="35" bestFit="1" customWidth="1"/>
    <col min="19" max="19" width="1" style="9" customWidth="1"/>
    <col min="20" max="22" width="11.83203125" style="11" customWidth="1"/>
    <col min="23" max="23" width="1" style="9" customWidth="1"/>
    <col min="24" max="25" width="11.83203125" style="11" customWidth="1"/>
    <col min="26" max="26" width="1" style="9" customWidth="1"/>
    <col min="27" max="16384" width="10.83203125" style="35"/>
  </cols>
  <sheetData>
    <row r="1" spans="2:25" ht="50" customHeight="1">
      <c r="B1" s="84" t="s">
        <v>61</v>
      </c>
      <c r="E1" s="36"/>
      <c r="F1" s="36"/>
      <c r="H1" s="8"/>
      <c r="I1" s="8"/>
      <c r="J1" s="503" t="s">
        <v>321</v>
      </c>
      <c r="K1" s="504" t="s">
        <v>321</v>
      </c>
      <c r="M1" s="90">
        <f>Calculator!R167*12</f>
        <v>120</v>
      </c>
      <c r="N1" s="91" t="s">
        <v>314</v>
      </c>
      <c r="O1" s="92">
        <f>Calculator!R169+0.0000000001</f>
        <v>6.6000000099999998E-2</v>
      </c>
      <c r="T1" s="8"/>
      <c r="U1" s="8"/>
      <c r="V1" s="8"/>
      <c r="X1" s="8"/>
      <c r="Y1" s="8"/>
    </row>
    <row r="2" spans="2:25">
      <c r="E2" s="36"/>
      <c r="F2" s="36"/>
      <c r="H2" s="8"/>
      <c r="I2" s="8"/>
      <c r="J2" s="8"/>
      <c r="K2" s="8"/>
      <c r="T2" s="8"/>
      <c r="U2" s="8"/>
      <c r="V2" s="8"/>
      <c r="X2" s="8"/>
      <c r="Y2" s="8"/>
    </row>
    <row r="3" spans="2:25">
      <c r="B3" s="505" t="s">
        <v>89</v>
      </c>
      <c r="C3" s="506"/>
      <c r="E3" s="505" t="s">
        <v>46</v>
      </c>
      <c r="F3" s="506"/>
      <c r="H3" s="488" t="s">
        <v>26</v>
      </c>
      <c r="I3" s="488"/>
      <c r="J3" s="488"/>
      <c r="K3" s="488"/>
      <c r="M3" s="488" t="s">
        <v>66</v>
      </c>
      <c r="N3" s="488"/>
      <c r="O3" s="488"/>
      <c r="P3" s="488"/>
      <c r="Q3" s="488"/>
      <c r="R3" s="488"/>
      <c r="T3" s="505" t="s">
        <v>53</v>
      </c>
      <c r="U3" s="507"/>
      <c r="V3" s="506"/>
      <c r="X3" s="505" t="s">
        <v>61</v>
      </c>
      <c r="Y3" s="506"/>
    </row>
    <row r="4" spans="2:25" ht="119" customHeight="1">
      <c r="B4" s="21" t="s">
        <v>1</v>
      </c>
      <c r="C4" s="82" t="s">
        <v>316</v>
      </c>
      <c r="E4" s="21" t="s">
        <v>86</v>
      </c>
      <c r="F4" s="21" t="s">
        <v>87</v>
      </c>
      <c r="H4" s="21" t="s">
        <v>26</v>
      </c>
      <c r="I4" s="21" t="s">
        <v>141</v>
      </c>
      <c r="J4" s="21" t="s">
        <v>51</v>
      </c>
      <c r="K4" s="21" t="s">
        <v>54</v>
      </c>
      <c r="M4" s="21" t="s">
        <v>31</v>
      </c>
      <c r="N4" s="82" t="s">
        <v>36</v>
      </c>
      <c r="O4" s="82" t="s">
        <v>315</v>
      </c>
      <c r="P4" s="82" t="s">
        <v>317</v>
      </c>
      <c r="Q4" s="82" t="s">
        <v>29</v>
      </c>
      <c r="R4" s="83" t="s">
        <v>28</v>
      </c>
      <c r="T4" s="21" t="s">
        <v>24</v>
      </c>
      <c r="U4" s="21" t="s">
        <v>104</v>
      </c>
      <c r="V4" s="21" t="s">
        <v>49</v>
      </c>
      <c r="X4" s="21" t="s">
        <v>88</v>
      </c>
      <c r="Y4" s="21" t="s">
        <v>27</v>
      </c>
    </row>
    <row r="5" spans="2:25" ht="6" customHeight="1">
      <c r="E5" s="36"/>
      <c r="F5" s="36"/>
      <c r="H5" s="8"/>
      <c r="I5" s="8"/>
      <c r="J5" s="8"/>
      <c r="K5" s="8"/>
      <c r="T5" s="8"/>
      <c r="U5" s="8"/>
      <c r="V5" s="8"/>
      <c r="X5" s="8"/>
      <c r="Y5" s="8"/>
    </row>
    <row r="6" spans="2:25">
      <c r="B6" s="19">
        <f ca="1">Jaargegevens!A14</f>
        <v>2025</v>
      </c>
      <c r="C6" s="19">
        <f ca="1">IF(Jaargegevens!F3&gt;12,0,1)</f>
        <v>0</v>
      </c>
      <c r="E6" s="37">
        <f ca="1">Jaargegevens!D14</f>
        <v>3.2000000000000001E-2</v>
      </c>
      <c r="F6" s="37"/>
      <c r="H6" s="38">
        <f>Calculator!R125+Calculator!R127</f>
        <v>14999</v>
      </c>
      <c r="I6" s="38">
        <f ca="1">SUM(Calculator!R129,Calculator!R131,Calculator!R133)</f>
        <v>0</v>
      </c>
      <c r="J6" s="38">
        <f ca="1">BTW!V10</f>
        <v>2102</v>
      </c>
      <c r="K6" s="38">
        <f ca="1">H6+I6-J6</f>
        <v>12897</v>
      </c>
      <c r="M6" s="85">
        <f>Calculator!$R$165+0.000001</f>
        <v>9.9999999999999995E-7</v>
      </c>
      <c r="N6" s="93">
        <f ca="1">IF(C6=0,0,(C7-C6)*Calculator!$S$176)</f>
        <v>0</v>
      </c>
      <c r="O6" s="85">
        <f ca="1">IF(C6=0,0,IF(C6-1&lt;$M$1,-CUMIPMT((1+EFFECT($O$1,12))^(1/12)-1,$M$1,$M$6,C6,C7-1,0),0))</f>
        <v>0</v>
      </c>
      <c r="P6" s="85">
        <f ca="1">IF(C6-1&lt;$M$1,N6-O6,0)</f>
        <v>0</v>
      </c>
      <c r="Q6" s="85">
        <f ca="1">Calculator!$R$171*Kosten!O6</f>
        <v>0</v>
      </c>
      <c r="R6" s="85">
        <f ca="1">N6-Q6</f>
        <v>0</v>
      </c>
      <c r="T6" s="39"/>
      <c r="U6" s="39">
        <f>Calculator!R133</f>
        <v>0</v>
      </c>
      <c r="V6" s="39">
        <f>Calculator!$R$158</f>
        <v>0</v>
      </c>
      <c r="X6" s="174">
        <f ca="1">IF(K6-M6+R6+T6+U6+V6&gt;0,K6-M6+R6+T6+U6+V6,0)</f>
        <v>12896.999999</v>
      </c>
      <c r="Y6" s="38">
        <f ca="1">SUM(K$6:K6)-SUM(M$6:M6)+SUM(R$6:R6)+SUM(T$6:T6)+SUM(V$6:V6)</f>
        <v>12896.999999</v>
      </c>
    </row>
    <row r="7" spans="2:25">
      <c r="B7" s="19">
        <f ca="1">Jaargegevens!A15</f>
        <v>2026</v>
      </c>
      <c r="C7" s="19">
        <f ca="1">12-Jaargegevens!F3+2</f>
        <v>1</v>
      </c>
      <c r="E7" s="37">
        <f ca="1">Jaargegevens!D15</f>
        <v>2.8000000000000001E-2</v>
      </c>
      <c r="F7" s="37"/>
      <c r="H7" s="38">
        <v>0</v>
      </c>
      <c r="I7" s="38"/>
      <c r="J7" s="38">
        <f ca="1">(IF(BTW!$X$11&gt;=B7,-BTW!$V$11,0))</f>
        <v>0</v>
      </c>
      <c r="K7" s="38">
        <f t="shared" ref="K7:K24" ca="1" si="0">H7-J7</f>
        <v>0</v>
      </c>
      <c r="M7" s="85"/>
      <c r="N7" s="93">
        <f ca="1">(C8-C7)*Calculator!$S$176</f>
        <v>0</v>
      </c>
      <c r="O7" s="85">
        <f t="shared" ref="O7:O24" ca="1" si="1">IF(C7-1&lt;$M$1,-CUMIPMT((1+EFFECT($O$1,12))^(1/12)-1,$M$1,$M$6,C7,C8-1,0),0)</f>
        <v>6.3816421512589054E-8</v>
      </c>
      <c r="P7" s="85">
        <f t="shared" ref="P7:P21" ca="1" si="2">IF(C7-1&lt;$M$1,N7-O7,0)</f>
        <v>-6.3816421512589054E-8</v>
      </c>
      <c r="Q7" s="85">
        <f ca="1">Calculator!$R$171*Kosten!O7</f>
        <v>2.3592931033204171E-8</v>
      </c>
      <c r="R7" s="85">
        <f t="shared" ref="R7:R24" ca="1" si="3">N7-Q7</f>
        <v>-2.3592931033204171E-8</v>
      </c>
      <c r="T7" s="39">
        <f>Calculator!R160</f>
        <v>0</v>
      </c>
      <c r="U7" s="38">
        <v>0</v>
      </c>
      <c r="V7" s="39">
        <f ca="1">V6*(1+E6)</f>
        <v>0</v>
      </c>
      <c r="X7" s="174">
        <f t="shared" ref="X7:X25" ca="1" si="4">IF(K7-M7+R7+T7+U7+V7&gt;0,K7-M7+R7+T7+U7+V7,0)</f>
        <v>0</v>
      </c>
      <c r="Y7" s="38">
        <f ca="1">SUM(K$6:K7)-SUM(M$6:M7)+SUM(R$6:R7)+SUM(T$6:T7)+SUM(V$6:V7)</f>
        <v>12896.999998976407</v>
      </c>
    </row>
    <row r="8" spans="2:25">
      <c r="B8" s="19">
        <f ca="1">Jaargegevens!A16</f>
        <v>2027</v>
      </c>
      <c r="C8" s="20">
        <f ca="1">MIN($M$1+1,C7+12)</f>
        <v>13</v>
      </c>
      <c r="E8" s="37">
        <f ca="1">Jaargegevens!D16</f>
        <v>2.5000000000000001E-2</v>
      </c>
      <c r="F8" s="37"/>
      <c r="H8" s="38">
        <v>0</v>
      </c>
      <c r="I8" s="38"/>
      <c r="J8" s="38">
        <f ca="1">(IF(BTW!$X$11&gt;=B8,-BTW!$V$11,0))</f>
        <v>0</v>
      </c>
      <c r="K8" s="38">
        <f t="shared" ca="1" si="0"/>
        <v>0</v>
      </c>
      <c r="M8" s="85"/>
      <c r="N8" s="93">
        <f ca="1">(C9-C8)*Calculator!$S$176</f>
        <v>0</v>
      </c>
      <c r="O8" s="85">
        <f t="shared" ca="1" si="1"/>
        <v>5.8846399217781992E-8</v>
      </c>
      <c r="P8" s="85">
        <f t="shared" ca="1" si="2"/>
        <v>-5.8846399217781992E-8</v>
      </c>
      <c r="Q8" s="85">
        <f ca="1">Calculator!$R$171*Kosten!O8</f>
        <v>2.1755513790814001E-8</v>
      </c>
      <c r="R8" s="85">
        <f t="shared" ca="1" si="3"/>
        <v>-2.1755513790814001E-8</v>
      </c>
      <c r="T8" s="39">
        <f ca="1">T7*(1+E7)</f>
        <v>0</v>
      </c>
      <c r="U8" s="38">
        <v>0</v>
      </c>
      <c r="V8" s="39">
        <f t="shared" ref="V8:V24" ca="1" si="5">V7*(1+E7)</f>
        <v>0</v>
      </c>
      <c r="X8" s="174">
        <f t="shared" ca="1" si="4"/>
        <v>0</v>
      </c>
      <c r="Y8" s="38">
        <f ca="1">SUM(K$6:K8)-SUM(M$6:M8)+SUM(R$6:R8)+SUM(T$6:T8)+SUM(V$6:V8)</f>
        <v>12896.99999895465</v>
      </c>
    </row>
    <row r="9" spans="2:25">
      <c r="B9" s="19">
        <f ca="1">Jaargegevens!A17</f>
        <v>2028</v>
      </c>
      <c r="C9" s="20">
        <f t="shared" ref="C9:C26" ca="1" si="6">MIN($M$1+1,C8+12)</f>
        <v>25</v>
      </c>
      <c r="E9" s="37">
        <f ca="1">Jaargegevens!D17</f>
        <v>2.5000000000000001E-2</v>
      </c>
      <c r="F9" s="37"/>
      <c r="H9" s="38">
        <v>0</v>
      </c>
      <c r="I9" s="38"/>
      <c r="J9" s="38">
        <f ca="1">(IF(BTW!$X$11&gt;=B9,-BTW!$V$11,0))</f>
        <v>0</v>
      </c>
      <c r="K9" s="38">
        <f t="shared" ca="1" si="0"/>
        <v>0</v>
      </c>
      <c r="M9" s="85"/>
      <c r="N9" s="93">
        <f ca="1">(C10-C9)*Calculator!$S$176</f>
        <v>0</v>
      </c>
      <c r="O9" s="85">
        <f t="shared" ca="1" si="1"/>
        <v>5.3538248615097723E-8</v>
      </c>
      <c r="P9" s="85">
        <f t="shared" ca="1" si="2"/>
        <v>-5.3538248615097723E-8</v>
      </c>
      <c r="Q9" s="85">
        <f ca="1">Calculator!$R$171*Kosten!O9</f>
        <v>1.9793090513001626E-8</v>
      </c>
      <c r="R9" s="85">
        <f t="shared" ca="1" si="3"/>
        <v>-1.9793090513001626E-8</v>
      </c>
      <c r="T9" s="39">
        <f t="shared" ref="T9:T24" ca="1" si="7">T8*(1+E8)</f>
        <v>0</v>
      </c>
      <c r="U9" s="38">
        <v>0</v>
      </c>
      <c r="V9" s="39">
        <f t="shared" ca="1" si="5"/>
        <v>0</v>
      </c>
      <c r="X9" s="174">
        <f t="shared" ca="1" si="4"/>
        <v>0</v>
      </c>
      <c r="Y9" s="38">
        <f ca="1">SUM(K$6:K9)-SUM(M$6:M9)+SUM(R$6:R9)+SUM(T$6:T9)+SUM(V$6:V9)</f>
        <v>12896.999998934858</v>
      </c>
    </row>
    <row r="10" spans="2:25">
      <c r="B10" s="19">
        <f ca="1">Jaargegevens!A18</f>
        <v>2029</v>
      </c>
      <c r="C10" s="20">
        <f t="shared" ca="1" si="6"/>
        <v>37</v>
      </c>
      <c r="E10" s="37">
        <f ca="1">Jaargegevens!D18</f>
        <v>2.5000000000000001E-2</v>
      </c>
      <c r="F10" s="37"/>
      <c r="H10" s="38">
        <v>0</v>
      </c>
      <c r="I10" s="38"/>
      <c r="J10" s="38">
        <f ca="1">(IF(BTW!$X$11&gt;=B10,-BTW!$V$11,0))</f>
        <v>0</v>
      </c>
      <c r="K10" s="38">
        <f t="shared" ca="1" si="0"/>
        <v>0</v>
      </c>
      <c r="M10" s="85"/>
      <c r="N10" s="93">
        <f ca="1">(C11-C10)*Calculator!$S$176</f>
        <v>0</v>
      </c>
      <c r="O10" s="85">
        <f t="shared" ca="1" si="1"/>
        <v>4.7868965632158683E-8</v>
      </c>
      <c r="P10" s="85">
        <f t="shared" ca="1" si="2"/>
        <v>-4.7868965632158683E-8</v>
      </c>
      <c r="Q10" s="85">
        <f ca="1">Calculator!$R$171*Kosten!O10</f>
        <v>1.7697156594209064E-8</v>
      </c>
      <c r="R10" s="85">
        <f t="shared" ca="1" si="3"/>
        <v>-1.7697156594209064E-8</v>
      </c>
      <c r="T10" s="39">
        <f t="shared" ca="1" si="7"/>
        <v>0</v>
      </c>
      <c r="U10" s="38">
        <v>0</v>
      </c>
      <c r="V10" s="39">
        <f t="shared" ca="1" si="5"/>
        <v>0</v>
      </c>
      <c r="X10" s="174">
        <f t="shared" ca="1" si="4"/>
        <v>0</v>
      </c>
      <c r="Y10" s="38">
        <f ca="1">SUM(K$6:K10)-SUM(M$6:M10)+SUM(R$6:R10)+SUM(T$6:T10)+SUM(V$6:V10)</f>
        <v>12896.999998917161</v>
      </c>
    </row>
    <row r="11" spans="2:25">
      <c r="B11" s="19">
        <f ca="1">Jaargegevens!A19</f>
        <v>2030</v>
      </c>
      <c r="C11" s="20">
        <f t="shared" ca="1" si="6"/>
        <v>49</v>
      </c>
      <c r="E11" s="37">
        <f ca="1">Jaargegevens!D19</f>
        <v>2.5000000000000001E-2</v>
      </c>
      <c r="F11" s="37"/>
      <c r="H11" s="38">
        <v>0</v>
      </c>
      <c r="I11" s="38"/>
      <c r="J11" s="38">
        <f ca="1">(IF(BTW!$X$11&gt;=B11,-BTW!$V$11,0))</f>
        <v>0</v>
      </c>
      <c r="K11" s="38">
        <f t="shared" ca="1" si="0"/>
        <v>0</v>
      </c>
      <c r="M11" s="85"/>
      <c r="N11" s="93">
        <f ca="1">(C12-C11)*Calculator!$S$176</f>
        <v>0</v>
      </c>
      <c r="O11" s="85">
        <f t="shared" ca="1" si="1"/>
        <v>4.1813981147658731E-8</v>
      </c>
      <c r="P11" s="85">
        <f t="shared" ca="1" si="2"/>
        <v>-4.1813981147658731E-8</v>
      </c>
      <c r="Q11" s="85">
        <f ca="1">Calculator!$R$171*Kosten!O11</f>
        <v>1.5458628830289432E-8</v>
      </c>
      <c r="R11" s="85">
        <f t="shared" ca="1" si="3"/>
        <v>-1.5458628830289432E-8</v>
      </c>
      <c r="T11" s="39">
        <f t="shared" ca="1" si="7"/>
        <v>0</v>
      </c>
      <c r="U11" s="38">
        <v>0</v>
      </c>
      <c r="V11" s="39">
        <f t="shared" ca="1" si="5"/>
        <v>0</v>
      </c>
      <c r="X11" s="174">
        <f t="shared" ca="1" si="4"/>
        <v>0</v>
      </c>
      <c r="Y11" s="38">
        <f ca="1">SUM(K$6:K11)-SUM(M$6:M11)+SUM(R$6:R11)+SUM(T$6:T11)+SUM(V$6:V11)</f>
        <v>12896.999998901701</v>
      </c>
    </row>
    <row r="12" spans="2:25">
      <c r="B12" s="19">
        <f ca="1">Jaargegevens!A20</f>
        <v>2031</v>
      </c>
      <c r="C12" s="20">
        <f t="shared" ca="1" si="6"/>
        <v>61</v>
      </c>
      <c r="E12" s="37">
        <f ca="1">Jaargegevens!D20</f>
        <v>2.5000000000000001E-2</v>
      </c>
      <c r="F12" s="37"/>
      <c r="H12" s="38">
        <v>0</v>
      </c>
      <c r="I12" s="38"/>
      <c r="J12" s="38">
        <f ca="1">(IF(BTW!$X$11&gt;=B12,-BTW!$V$11,0))</f>
        <v>0</v>
      </c>
      <c r="K12" s="38">
        <f t="shared" ca="1" si="0"/>
        <v>0</v>
      </c>
      <c r="M12" s="85"/>
      <c r="N12" s="93">
        <f ca="1">(C13-C12)*Calculator!$S$176</f>
        <v>0</v>
      </c>
      <c r="O12" s="85">
        <f t="shared" ca="1" si="1"/>
        <v>3.5347054515513717E-8</v>
      </c>
      <c r="P12" s="85">
        <f t="shared" ca="1" si="2"/>
        <v>-3.5347054515513717E-8</v>
      </c>
      <c r="Q12" s="85">
        <f ca="1">Calculator!$R$171*Kosten!O12</f>
        <v>1.3067806054385421E-8</v>
      </c>
      <c r="R12" s="85">
        <f t="shared" ca="1" si="3"/>
        <v>-1.3067806054385421E-8</v>
      </c>
      <c r="T12" s="39">
        <f t="shared" ca="1" si="7"/>
        <v>0</v>
      </c>
      <c r="U12" s="38">
        <v>0</v>
      </c>
      <c r="V12" s="39">
        <f t="shared" ca="1" si="5"/>
        <v>0</v>
      </c>
      <c r="X12" s="174">
        <f t="shared" ca="1" si="4"/>
        <v>0</v>
      </c>
      <c r="Y12" s="38">
        <f ca="1">SUM(K$6:K12)-SUM(M$6:M12)+SUM(R$6:R12)+SUM(T$6:T12)+SUM(V$6:V12)</f>
        <v>12896.999998888634</v>
      </c>
    </row>
    <row r="13" spans="2:25">
      <c r="B13" s="19">
        <f ca="1">Jaargegevens!A21</f>
        <v>2032</v>
      </c>
      <c r="C13" s="20">
        <f t="shared" ca="1" si="6"/>
        <v>73</v>
      </c>
      <c r="E13" s="37">
        <f ca="1">Jaargegevens!D21</f>
        <v>2.5000000000000001E-2</v>
      </c>
      <c r="F13" s="37"/>
      <c r="H13" s="38">
        <v>0</v>
      </c>
      <c r="I13" s="38"/>
      <c r="J13" s="38">
        <f ca="1">(IF(BTW!$X$11&gt;=B13,-BTW!$V$11,0))</f>
        <v>0</v>
      </c>
      <c r="K13" s="38">
        <f t="shared" ca="1" si="0"/>
        <v>0</v>
      </c>
      <c r="M13" s="85"/>
      <c r="N13" s="93">
        <f ca="1">(C14-C13)*Calculator!$S$176</f>
        <v>0</v>
      </c>
      <c r="O13" s="85">
        <f t="shared" ca="1" si="1"/>
        <v>2.8440159845080844E-8</v>
      </c>
      <c r="P13" s="85">
        <f t="shared" ca="1" si="2"/>
        <v>-2.8440159845080844E-8</v>
      </c>
      <c r="Q13" s="85">
        <f ca="1">Calculator!$R$171*Kosten!O13</f>
        <v>1.0514327094726387E-8</v>
      </c>
      <c r="R13" s="85">
        <f t="shared" ca="1" si="3"/>
        <v>-1.0514327094726387E-8</v>
      </c>
      <c r="T13" s="39">
        <f t="shared" ca="1" si="7"/>
        <v>0</v>
      </c>
      <c r="U13" s="38">
        <v>0</v>
      </c>
      <c r="V13" s="39">
        <f t="shared" ca="1" si="5"/>
        <v>0</v>
      </c>
      <c r="X13" s="174">
        <f t="shared" ca="1" si="4"/>
        <v>0</v>
      </c>
      <c r="Y13" s="38">
        <f ca="1">SUM(K$6:K13)-SUM(M$6:M13)+SUM(R$6:R13)+SUM(T$6:T13)+SUM(V$6:V13)</f>
        <v>12896.99999887812</v>
      </c>
    </row>
    <row r="14" spans="2:25">
      <c r="B14" s="19">
        <f ca="1">Jaargegevens!A22</f>
        <v>2033</v>
      </c>
      <c r="C14" s="20">
        <f t="shared" ca="1" si="6"/>
        <v>85</v>
      </c>
      <c r="E14" s="37">
        <f ca="1">Jaargegevens!D22</f>
        <v>2.5000000000000001E-2</v>
      </c>
      <c r="F14" s="37"/>
      <c r="H14" s="38">
        <v>0</v>
      </c>
      <c r="I14" s="38"/>
      <c r="J14" s="38">
        <f ca="1">(IF(BTW!$X$11&gt;=B14,-BTW!$V$11,0))</f>
        <v>0</v>
      </c>
      <c r="K14" s="38">
        <f t="shared" ca="1" si="0"/>
        <v>0</v>
      </c>
      <c r="M14" s="85"/>
      <c r="N14" s="93">
        <f ca="1">(C15-C14)*Calculator!$S$176</f>
        <v>0</v>
      </c>
      <c r="O14" s="85">
        <f t="shared" ca="1" si="1"/>
        <v>2.1063364544616633E-8</v>
      </c>
      <c r="P14" s="85">
        <f t="shared" ca="1" si="2"/>
        <v>-2.1063364544616633E-8</v>
      </c>
      <c r="Q14" s="85">
        <f ca="1">Calculator!$R$171*Kosten!O14</f>
        <v>7.7871258721447683E-9</v>
      </c>
      <c r="R14" s="85">
        <f t="shared" ca="1" si="3"/>
        <v>-7.7871258721447683E-9</v>
      </c>
      <c r="T14" s="39">
        <f t="shared" ca="1" si="7"/>
        <v>0</v>
      </c>
      <c r="U14" s="38">
        <v>0</v>
      </c>
      <c r="V14" s="39">
        <f t="shared" ca="1" si="5"/>
        <v>0</v>
      </c>
      <c r="X14" s="174">
        <f t="shared" ca="1" si="4"/>
        <v>0</v>
      </c>
      <c r="Y14" s="38">
        <f ca="1">SUM(K$6:K14)-SUM(M$6:M14)+SUM(R$6:R14)+SUM(T$6:T14)+SUM(V$6:V14)</f>
        <v>12896.999998870333</v>
      </c>
    </row>
    <row r="15" spans="2:25">
      <c r="B15" s="19">
        <f ca="1">Jaargegevens!A23</f>
        <v>2034</v>
      </c>
      <c r="C15" s="20">
        <f t="shared" ca="1" si="6"/>
        <v>97</v>
      </c>
      <c r="E15" s="37">
        <f ca="1">Jaargegevens!D23</f>
        <v>2.5000000000000001E-2</v>
      </c>
      <c r="F15" s="37"/>
      <c r="H15" s="38">
        <v>0</v>
      </c>
      <c r="I15" s="38"/>
      <c r="J15" s="38">
        <f ca="1">(IF(BTW!$X$11&gt;=B15,-BTW!$V$11,0))</f>
        <v>0</v>
      </c>
      <c r="K15" s="38">
        <f t="shared" ca="1" si="0"/>
        <v>0</v>
      </c>
      <c r="M15" s="85"/>
      <c r="N15" s="93">
        <f ca="1">(C16-C15)*Calculator!$S$176</f>
        <v>0</v>
      </c>
      <c r="O15" s="85">
        <f t="shared" ca="1" si="1"/>
        <v>1.318469960161406E-8</v>
      </c>
      <c r="P15" s="85">
        <f t="shared" ca="1" si="2"/>
        <v>-1.318469960161406E-8</v>
      </c>
      <c r="Q15" s="85">
        <f ca="1">Calculator!$R$171*Kosten!O15</f>
        <v>4.8743834427167179E-9</v>
      </c>
      <c r="R15" s="85">
        <f t="shared" ca="1" si="3"/>
        <v>-4.8743834427167179E-9</v>
      </c>
      <c r="T15" s="39">
        <f t="shared" ca="1" si="7"/>
        <v>0</v>
      </c>
      <c r="U15" s="38">
        <v>0</v>
      </c>
      <c r="V15" s="39">
        <f t="shared" ca="1" si="5"/>
        <v>0</v>
      </c>
      <c r="X15" s="174">
        <f t="shared" ca="1" si="4"/>
        <v>0</v>
      </c>
      <c r="Y15" s="38">
        <f ca="1">SUM(K$6:K15)-SUM(M$6:M15)+SUM(R$6:R15)+SUM(T$6:T15)+SUM(V$6:V15)</f>
        <v>12896.999998865458</v>
      </c>
    </row>
    <row r="16" spans="2:25">
      <c r="B16" s="19">
        <f ca="1">Jaargegevens!A24</f>
        <v>2035</v>
      </c>
      <c r="C16" s="20">
        <f t="shared" ca="1" si="6"/>
        <v>109</v>
      </c>
      <c r="E16" s="37">
        <f ca="1">Jaargegevens!D24</f>
        <v>2.5000000000000001E-2</v>
      </c>
      <c r="F16" s="37"/>
      <c r="H16" s="38">
        <v>0</v>
      </c>
      <c r="I16" s="38"/>
      <c r="J16" s="38">
        <f ca="1">(IF(BTW!$X$11&gt;=B16,-BTW!$V$11,0))</f>
        <v>0</v>
      </c>
      <c r="K16" s="38">
        <f t="shared" ca="1" si="0"/>
        <v>0</v>
      </c>
      <c r="M16" s="85"/>
      <c r="N16" s="93">
        <f ca="1">(C17-C16)*Calculator!$S$176</f>
        <v>0</v>
      </c>
      <c r="O16" s="85">
        <f t="shared" ca="1" si="1"/>
        <v>4.7700210378491965E-9</v>
      </c>
      <c r="P16" s="85">
        <f t="shared" ca="1" si="2"/>
        <v>-4.7700210378491965E-9</v>
      </c>
      <c r="Q16" s="85">
        <f ca="1">Calculator!$R$171*Kosten!O16</f>
        <v>1.7634767776928478E-9</v>
      </c>
      <c r="R16" s="85">
        <f t="shared" ca="1" si="3"/>
        <v>-1.7634767776928478E-9</v>
      </c>
      <c r="T16" s="39">
        <f t="shared" ca="1" si="7"/>
        <v>0</v>
      </c>
      <c r="U16" s="38">
        <v>0</v>
      </c>
      <c r="V16" s="39">
        <f t="shared" ca="1" si="5"/>
        <v>0</v>
      </c>
      <c r="X16" s="174">
        <f t="shared" ca="1" si="4"/>
        <v>0</v>
      </c>
      <c r="Y16" s="38">
        <f ca="1">SUM(K$6:K16)-SUM(M$6:M16)+SUM(R$6:R16)+SUM(T$6:T16)+SUM(V$6:V16)</f>
        <v>12896.999998863696</v>
      </c>
    </row>
    <row r="17" spans="2:25">
      <c r="B17" s="19">
        <f ca="1">Jaargegevens!A25</f>
        <v>2036</v>
      </c>
      <c r="C17" s="20">
        <f t="shared" ca="1" si="6"/>
        <v>121</v>
      </c>
      <c r="E17" s="37">
        <f ca="1">Jaargegevens!D25</f>
        <v>2.5000000000000001E-2</v>
      </c>
      <c r="F17" s="37"/>
      <c r="H17" s="38">
        <v>0</v>
      </c>
      <c r="I17" s="38"/>
      <c r="J17" s="38">
        <f ca="1">(IF(BTW!$X$11&gt;=B17,-BTW!$V$11,0))</f>
        <v>0</v>
      </c>
      <c r="K17" s="38">
        <f t="shared" ca="1" si="0"/>
        <v>0</v>
      </c>
      <c r="M17" s="85"/>
      <c r="N17" s="93">
        <f ca="1">(C18-C17)*Calculator!$S$176</f>
        <v>0</v>
      </c>
      <c r="O17" s="85">
        <f t="shared" ca="1" si="1"/>
        <v>0</v>
      </c>
      <c r="P17" s="85">
        <f t="shared" ca="1" si="2"/>
        <v>0</v>
      </c>
      <c r="Q17" s="85">
        <f ca="1">Calculator!$R$171*Kosten!O17</f>
        <v>0</v>
      </c>
      <c r="R17" s="85">
        <f t="shared" ca="1" si="3"/>
        <v>0</v>
      </c>
      <c r="T17" s="39">
        <f t="shared" ca="1" si="7"/>
        <v>0</v>
      </c>
      <c r="U17" s="38">
        <v>0</v>
      </c>
      <c r="V17" s="39">
        <f t="shared" ca="1" si="5"/>
        <v>0</v>
      </c>
      <c r="X17" s="174">
        <f t="shared" ca="1" si="4"/>
        <v>0</v>
      </c>
      <c r="Y17" s="38">
        <f ca="1">SUM(K$6:K17)-SUM(M$6:M17)+SUM(R$6:R17)+SUM(T$6:T17)+SUM(V$6:V17)</f>
        <v>12896.999998863696</v>
      </c>
    </row>
    <row r="18" spans="2:25">
      <c r="B18" s="19">
        <f ca="1">Jaargegevens!A26</f>
        <v>2037</v>
      </c>
      <c r="C18" s="20">
        <f t="shared" ca="1" si="6"/>
        <v>121</v>
      </c>
      <c r="E18" s="37">
        <f ca="1">Jaargegevens!D26</f>
        <v>2.5000000000000001E-2</v>
      </c>
      <c r="F18" s="37"/>
      <c r="H18" s="38">
        <v>0</v>
      </c>
      <c r="I18" s="38"/>
      <c r="J18" s="38">
        <f ca="1">(IF(BTW!$X$11&gt;=B18,-BTW!$V$11,0))</f>
        <v>0</v>
      </c>
      <c r="K18" s="38">
        <f t="shared" ca="1" si="0"/>
        <v>0</v>
      </c>
      <c r="M18" s="85"/>
      <c r="N18" s="93">
        <f ca="1">(C19-C18)*Calculator!$S$176</f>
        <v>0</v>
      </c>
      <c r="O18" s="85">
        <f t="shared" ca="1" si="1"/>
        <v>0</v>
      </c>
      <c r="P18" s="85">
        <f t="shared" ca="1" si="2"/>
        <v>0</v>
      </c>
      <c r="Q18" s="85">
        <f ca="1">Calculator!$R$171*Kosten!O18</f>
        <v>0</v>
      </c>
      <c r="R18" s="85">
        <f t="shared" ca="1" si="3"/>
        <v>0</v>
      </c>
      <c r="T18" s="39">
        <f t="shared" ca="1" si="7"/>
        <v>0</v>
      </c>
      <c r="U18" s="38">
        <v>0</v>
      </c>
      <c r="V18" s="39">
        <f t="shared" ca="1" si="5"/>
        <v>0</v>
      </c>
      <c r="X18" s="174">
        <f t="shared" ca="1" si="4"/>
        <v>0</v>
      </c>
      <c r="Y18" s="38">
        <f ca="1">SUM(K$6:K18)-SUM(M$6:M18)+SUM(R$6:R18)+SUM(T$6:T18)+SUM(V$6:V18)</f>
        <v>12896.999998863696</v>
      </c>
    </row>
    <row r="19" spans="2:25">
      <c r="B19" s="19">
        <f ca="1">Jaargegevens!A27</f>
        <v>2038</v>
      </c>
      <c r="C19" s="20">
        <f t="shared" ca="1" si="6"/>
        <v>121</v>
      </c>
      <c r="E19" s="37">
        <f ca="1">Jaargegevens!D27</f>
        <v>2.5000000000000001E-2</v>
      </c>
      <c r="F19" s="37"/>
      <c r="H19" s="38">
        <v>0</v>
      </c>
      <c r="I19" s="38"/>
      <c r="J19" s="38">
        <f ca="1">(IF(BTW!$X$11&gt;=B19,-BTW!$V$11,0))</f>
        <v>0</v>
      </c>
      <c r="K19" s="38">
        <f t="shared" ca="1" si="0"/>
        <v>0</v>
      </c>
      <c r="M19" s="85"/>
      <c r="N19" s="93">
        <f ca="1">(C20-C19)*Calculator!$S$176</f>
        <v>0</v>
      </c>
      <c r="O19" s="85">
        <f t="shared" ca="1" si="1"/>
        <v>0</v>
      </c>
      <c r="P19" s="85">
        <f t="shared" ca="1" si="2"/>
        <v>0</v>
      </c>
      <c r="Q19" s="85">
        <f ca="1">Calculator!$R$171*Kosten!O19</f>
        <v>0</v>
      </c>
      <c r="R19" s="85">
        <f t="shared" ca="1" si="3"/>
        <v>0</v>
      </c>
      <c r="T19" s="39">
        <f t="shared" ca="1" si="7"/>
        <v>0</v>
      </c>
      <c r="U19" s="38">
        <v>0</v>
      </c>
      <c r="V19" s="39">
        <f t="shared" ca="1" si="5"/>
        <v>0</v>
      </c>
      <c r="X19" s="174">
        <f t="shared" ca="1" si="4"/>
        <v>0</v>
      </c>
      <c r="Y19" s="38">
        <f ca="1">SUM(K$6:K19)-SUM(M$6:M19)+SUM(R$6:R19)+SUM(T$6:T19)+SUM(V$6:V19)</f>
        <v>12896.999998863696</v>
      </c>
    </row>
    <row r="20" spans="2:25">
      <c r="B20" s="19">
        <f ca="1">Jaargegevens!A28</f>
        <v>2039</v>
      </c>
      <c r="C20" s="20">
        <f t="shared" ca="1" si="6"/>
        <v>121</v>
      </c>
      <c r="E20" s="37">
        <f ca="1">Jaargegevens!D28</f>
        <v>2.5000000000000001E-2</v>
      </c>
      <c r="F20" s="37"/>
      <c r="H20" s="38">
        <v>0</v>
      </c>
      <c r="I20" s="38"/>
      <c r="J20" s="38">
        <f ca="1">(IF(BTW!$X$11&gt;=B20,-BTW!$V$11,0))</f>
        <v>0</v>
      </c>
      <c r="K20" s="38">
        <f t="shared" ca="1" si="0"/>
        <v>0</v>
      </c>
      <c r="M20" s="85"/>
      <c r="N20" s="93">
        <f ca="1">(C21-C20)*Calculator!$S$176</f>
        <v>0</v>
      </c>
      <c r="O20" s="85">
        <f t="shared" ca="1" si="1"/>
        <v>0</v>
      </c>
      <c r="P20" s="85">
        <f t="shared" ca="1" si="2"/>
        <v>0</v>
      </c>
      <c r="Q20" s="85">
        <f ca="1">Calculator!$R$171*Kosten!O20</f>
        <v>0</v>
      </c>
      <c r="R20" s="85">
        <f t="shared" ca="1" si="3"/>
        <v>0</v>
      </c>
      <c r="T20" s="39">
        <f t="shared" ca="1" si="7"/>
        <v>0</v>
      </c>
      <c r="U20" s="38">
        <v>0</v>
      </c>
      <c r="V20" s="39">
        <f t="shared" ca="1" si="5"/>
        <v>0</v>
      </c>
      <c r="X20" s="174">
        <f t="shared" ca="1" si="4"/>
        <v>0</v>
      </c>
      <c r="Y20" s="38">
        <f ca="1">SUM(K$6:K20)-SUM(M$6:M20)+SUM(R$6:R20)+SUM(T$6:T20)+SUM(V$6:V20)</f>
        <v>12896.999998863696</v>
      </c>
    </row>
    <row r="21" spans="2:25">
      <c r="B21" s="19">
        <f ca="1">Jaargegevens!A29</f>
        <v>2040</v>
      </c>
      <c r="C21" s="20">
        <f t="shared" ca="1" si="6"/>
        <v>121</v>
      </c>
      <c r="E21" s="37">
        <f ca="1">Jaargegevens!D29</f>
        <v>2.5000000000000001E-2</v>
      </c>
      <c r="F21" s="37"/>
      <c r="H21" s="38">
        <v>0</v>
      </c>
      <c r="I21" s="38"/>
      <c r="J21" s="38">
        <f ca="1">(IF(BTW!$X$11&gt;=B21,-BTW!$V$11,0))</f>
        <v>0</v>
      </c>
      <c r="K21" s="38">
        <f t="shared" ca="1" si="0"/>
        <v>0</v>
      </c>
      <c r="M21" s="85"/>
      <c r="N21" s="93">
        <f ca="1">(C22-C21)*Calculator!$S$176</f>
        <v>0</v>
      </c>
      <c r="O21" s="85">
        <f t="shared" ca="1" si="1"/>
        <v>0</v>
      </c>
      <c r="P21" s="85">
        <f t="shared" ca="1" si="2"/>
        <v>0</v>
      </c>
      <c r="Q21" s="85">
        <f ca="1">Calculator!$R$171*Kosten!O21</f>
        <v>0</v>
      </c>
      <c r="R21" s="85">
        <f t="shared" ca="1" si="3"/>
        <v>0</v>
      </c>
      <c r="T21" s="39">
        <f t="shared" ca="1" si="7"/>
        <v>0</v>
      </c>
      <c r="U21" s="38">
        <v>0</v>
      </c>
      <c r="V21" s="39">
        <f t="shared" ca="1" si="5"/>
        <v>0</v>
      </c>
      <c r="X21" s="174">
        <f t="shared" ca="1" si="4"/>
        <v>0</v>
      </c>
      <c r="Y21" s="38">
        <f ca="1">SUM(K$6:K21)-SUM(M$6:M21)+SUM(R$6:R21)+SUM(T$6:T21)+SUM(V$6:V21)</f>
        <v>12896.999998863696</v>
      </c>
    </row>
    <row r="22" spans="2:25">
      <c r="B22" s="19">
        <f ca="1">Jaargegevens!A30</f>
        <v>2041</v>
      </c>
      <c r="C22" s="20">
        <f t="shared" ca="1" si="6"/>
        <v>121</v>
      </c>
      <c r="E22" s="37">
        <f ca="1">Jaargegevens!D30</f>
        <v>2.5000000000000001E-2</v>
      </c>
      <c r="F22" s="37"/>
      <c r="H22" s="38">
        <v>0</v>
      </c>
      <c r="I22" s="38"/>
      <c r="J22" s="38">
        <f ca="1">(IF(BTW!$X$11&gt;=B22,-BTW!$V$11,0))</f>
        <v>0</v>
      </c>
      <c r="K22" s="38">
        <f t="shared" ca="1" si="0"/>
        <v>0</v>
      </c>
      <c r="M22" s="85"/>
      <c r="N22" s="93">
        <f ca="1">(C23-C22)*Calculator!$S$176</f>
        <v>0</v>
      </c>
      <c r="O22" s="85">
        <f t="shared" ca="1" si="1"/>
        <v>0</v>
      </c>
      <c r="P22" s="85">
        <f t="shared" ref="P22:P24" ca="1" si="8">IF(C22-1&lt;$M$1,$N$6-O22,0)</f>
        <v>0</v>
      </c>
      <c r="Q22" s="85">
        <f ca="1">Calculator!$R$171*Kosten!O22</f>
        <v>0</v>
      </c>
      <c r="R22" s="85">
        <f t="shared" ca="1" si="3"/>
        <v>0</v>
      </c>
      <c r="T22" s="39">
        <f t="shared" ca="1" si="7"/>
        <v>0</v>
      </c>
      <c r="U22" s="38">
        <v>0</v>
      </c>
      <c r="V22" s="39">
        <f t="shared" ca="1" si="5"/>
        <v>0</v>
      </c>
      <c r="X22" s="174">
        <f t="shared" ca="1" si="4"/>
        <v>0</v>
      </c>
      <c r="Y22" s="38">
        <f ca="1">SUM(K$6:K22)-SUM(M$6:M22)+SUM(R$6:R22)+SUM(T$6:T22)+SUM(V$6:V22)</f>
        <v>12896.999998863696</v>
      </c>
    </row>
    <row r="23" spans="2:25">
      <c r="B23" s="19">
        <f ca="1">Jaargegevens!A31</f>
        <v>2042</v>
      </c>
      <c r="C23" s="20">
        <f t="shared" ca="1" si="6"/>
        <v>121</v>
      </c>
      <c r="E23" s="37">
        <f ca="1">Jaargegevens!D31</f>
        <v>2.5000000000000001E-2</v>
      </c>
      <c r="F23" s="37"/>
      <c r="H23" s="38">
        <v>0</v>
      </c>
      <c r="I23" s="38"/>
      <c r="J23" s="38">
        <f ca="1">(IF(BTW!$X$11&gt;=B23,-BTW!$V$11,0))</f>
        <v>0</v>
      </c>
      <c r="K23" s="38">
        <f t="shared" ca="1" si="0"/>
        <v>0</v>
      </c>
      <c r="M23" s="85"/>
      <c r="N23" s="93">
        <f ca="1">(C24-C23)*Calculator!$S$176</f>
        <v>0</v>
      </c>
      <c r="O23" s="85">
        <f t="shared" ca="1" si="1"/>
        <v>0</v>
      </c>
      <c r="P23" s="85">
        <f t="shared" ca="1" si="8"/>
        <v>0</v>
      </c>
      <c r="Q23" s="85">
        <f ca="1">Calculator!$R$171*Kosten!O23</f>
        <v>0</v>
      </c>
      <c r="R23" s="85">
        <f t="shared" ca="1" si="3"/>
        <v>0</v>
      </c>
      <c r="T23" s="39">
        <f t="shared" ca="1" si="7"/>
        <v>0</v>
      </c>
      <c r="U23" s="38">
        <v>0</v>
      </c>
      <c r="V23" s="39">
        <f t="shared" ca="1" si="5"/>
        <v>0</v>
      </c>
      <c r="X23" s="174">
        <f t="shared" ca="1" si="4"/>
        <v>0</v>
      </c>
      <c r="Y23" s="38">
        <f ca="1">SUM(K$6:K23)-SUM(M$6:M23)+SUM(R$6:R23)+SUM(T$6:T23)+SUM(V$6:V23)</f>
        <v>12896.999998863696</v>
      </c>
    </row>
    <row r="24" spans="2:25">
      <c r="B24" s="19">
        <f ca="1">Jaargegevens!A32</f>
        <v>2043</v>
      </c>
      <c r="C24" s="20">
        <f t="shared" ca="1" si="6"/>
        <v>121</v>
      </c>
      <c r="E24" s="37">
        <f ca="1">Jaargegevens!D32</f>
        <v>2.5000000000000001E-2</v>
      </c>
      <c r="F24" s="37"/>
      <c r="H24" s="38">
        <v>0</v>
      </c>
      <c r="I24" s="38"/>
      <c r="J24" s="38">
        <f ca="1">(IF(BTW!$X$11&gt;=B24,-BTW!$V$11,0))</f>
        <v>0</v>
      </c>
      <c r="K24" s="38">
        <f t="shared" ca="1" si="0"/>
        <v>0</v>
      </c>
      <c r="M24" s="85"/>
      <c r="N24" s="93">
        <f ca="1">(C25-C24)*Calculator!$S$176</f>
        <v>0</v>
      </c>
      <c r="O24" s="85">
        <f t="shared" ca="1" si="1"/>
        <v>0</v>
      </c>
      <c r="P24" s="85">
        <f t="shared" ca="1" si="8"/>
        <v>0</v>
      </c>
      <c r="Q24" s="85">
        <f ca="1">Calculator!$R$171*Kosten!O24</f>
        <v>0</v>
      </c>
      <c r="R24" s="85">
        <f t="shared" ca="1" si="3"/>
        <v>0</v>
      </c>
      <c r="T24" s="39">
        <f t="shared" ca="1" si="7"/>
        <v>0</v>
      </c>
      <c r="U24" s="38">
        <v>0</v>
      </c>
      <c r="V24" s="39">
        <f t="shared" ca="1" si="5"/>
        <v>0</v>
      </c>
      <c r="X24" s="174">
        <f t="shared" ca="1" si="4"/>
        <v>0</v>
      </c>
      <c r="Y24" s="38">
        <f ca="1">SUM(K$6:K24)-SUM(M$6:M24)+SUM(R$6:R24)+SUM(T$6:T24)+SUM(V$6:V24)</f>
        <v>12896.999998863696</v>
      </c>
    </row>
    <row r="25" spans="2:25">
      <c r="B25" s="19">
        <f ca="1">Jaargegevens!A33</f>
        <v>2044</v>
      </c>
      <c r="C25" s="20">
        <f t="shared" ca="1" si="6"/>
        <v>121</v>
      </c>
      <c r="E25" s="37">
        <f ca="1">Jaargegevens!D33</f>
        <v>2.5000000000000001E-2</v>
      </c>
      <c r="F25" s="37"/>
      <c r="H25" s="38">
        <v>0</v>
      </c>
      <c r="I25" s="38"/>
      <c r="J25" s="38">
        <f ca="1">(IF(BTW!$X$11&gt;=B25,-BTW!$V$11,0))</f>
        <v>0</v>
      </c>
      <c r="K25" s="38">
        <f t="shared" ref="K25:K26" ca="1" si="9">H25-J25</f>
        <v>0</v>
      </c>
      <c r="M25" s="85"/>
      <c r="N25" s="93">
        <f ca="1">(C26-C25)*Calculator!$S$176</f>
        <v>0</v>
      </c>
      <c r="O25" s="85">
        <f t="shared" ref="O25" ca="1" si="10">IF(C25-1&lt;$M$1,-CUMIPMT((1+EFFECT($O$1,12))^(1/12)-1,$M$1,$M$6,C25,C26-1,0),0)</f>
        <v>0</v>
      </c>
      <c r="P25" s="85">
        <f t="shared" ref="P25:P26" ca="1" si="11">IF(C25-1&lt;$M$1,$N$6-O25,0)</f>
        <v>0</v>
      </c>
      <c r="Q25" s="85">
        <f ca="1">Calculator!$R$171*Kosten!O25</f>
        <v>0</v>
      </c>
      <c r="R25" s="85">
        <f t="shared" ref="R25:R26" ca="1" si="12">N25-Q25</f>
        <v>0</v>
      </c>
      <c r="T25" s="39">
        <f t="shared" ref="T25" ca="1" si="13">T24*(1+E24)</f>
        <v>0</v>
      </c>
      <c r="U25" s="38">
        <v>0</v>
      </c>
      <c r="V25" s="39">
        <f t="shared" ref="V25:V26" ca="1" si="14">V24*(1+E24)</f>
        <v>0</v>
      </c>
      <c r="X25" s="174">
        <f t="shared" ca="1" si="4"/>
        <v>0</v>
      </c>
      <c r="Y25" s="38">
        <f ca="1">SUM(K$6:K25)-SUM(M$6:M25)+SUM(R$6:R25)+SUM(T$6:T25)+SUM(V$6:V25)</f>
        <v>12896.999998863696</v>
      </c>
    </row>
    <row r="26" spans="2:25">
      <c r="B26" s="19">
        <f ca="1">Jaargegevens!A34</f>
        <v>2045</v>
      </c>
      <c r="C26" s="20">
        <f t="shared" ca="1" si="6"/>
        <v>121</v>
      </c>
      <c r="E26" s="37">
        <f ca="1">Jaargegevens!D34</f>
        <v>2.5000000000000001E-2</v>
      </c>
      <c r="F26" s="37"/>
      <c r="H26" s="38">
        <v>0</v>
      </c>
      <c r="I26" s="38"/>
      <c r="J26" s="38">
        <f ca="1">(IF(BTW!$X$11&gt;=B26,-BTW!$V$11,0))</f>
        <v>0</v>
      </c>
      <c r="K26" s="38">
        <f t="shared" ca="1" si="9"/>
        <v>0</v>
      </c>
      <c r="M26" s="85"/>
      <c r="N26" s="93">
        <f ca="1">(C27-C26)*Calculator!$S$176</f>
        <v>0</v>
      </c>
      <c r="O26" s="175">
        <v>0</v>
      </c>
      <c r="P26" s="175">
        <f t="shared" ca="1" si="11"/>
        <v>0</v>
      </c>
      <c r="Q26" s="175">
        <f>Calculator!$R$171*Kosten!O26</f>
        <v>0</v>
      </c>
      <c r="R26" s="175">
        <f t="shared" ca="1" si="12"/>
        <v>0</v>
      </c>
      <c r="S26" s="176"/>
      <c r="T26" s="177"/>
      <c r="U26" s="178">
        <v>0</v>
      </c>
      <c r="V26" s="177">
        <f t="shared" ca="1" si="14"/>
        <v>0</v>
      </c>
      <c r="W26" s="176"/>
      <c r="X26" s="179">
        <f t="shared" ref="X26" ca="1" si="15">K26+R26+T26+U26+V26</f>
        <v>0</v>
      </c>
      <c r="Y26" s="178">
        <f ca="1">SUM(K$6:K26)-SUM(M$6:M26)+SUM(R$6:R26)+SUM(T$6:T26)+SUM(V$6:V26)</f>
        <v>12896.999998863696</v>
      </c>
    </row>
    <row r="27" spans="2:25">
      <c r="C27" s="20">
        <f ca="1">MIN($M$1+1,C25+12)</f>
        <v>121</v>
      </c>
    </row>
    <row r="29" spans="2:25">
      <c r="H29" s="94">
        <f>SUM(H6:H28)</f>
        <v>14999</v>
      </c>
      <c r="I29" s="94">
        <f ca="1">SUM(I6:I28)</f>
        <v>0</v>
      </c>
      <c r="J29" s="94">
        <f ca="1">SUM(J6:J28)</f>
        <v>2102</v>
      </c>
      <c r="K29" s="94">
        <f ca="1">SUM(K6:K28)</f>
        <v>12897</v>
      </c>
      <c r="L29" s="94"/>
      <c r="M29" s="94">
        <f t="shared" ref="M29:R29" si="16">SUM(M6:M28)</f>
        <v>9.9999999999999995E-7</v>
      </c>
      <c r="N29" s="86">
        <f t="shared" ca="1" si="16"/>
        <v>0</v>
      </c>
      <c r="O29" s="86">
        <f t="shared" ca="1" si="16"/>
        <v>3.6868931566996066E-7</v>
      </c>
      <c r="P29" s="18">
        <f t="shared" ca="1" si="16"/>
        <v>-3.6868931566996066E-7</v>
      </c>
      <c r="Q29" s="18">
        <f t="shared" ca="1" si="16"/>
        <v>1.363044400031844E-7</v>
      </c>
      <c r="R29" s="18">
        <f t="shared" ca="1" si="16"/>
        <v>-1.363044400031844E-7</v>
      </c>
      <c r="T29" s="94">
        <f ca="1">SUM(T6:T28)</f>
        <v>0</v>
      </c>
      <c r="V29" s="94">
        <f ca="1">SUM(V6:V28)</f>
        <v>0</v>
      </c>
      <c r="X29" s="94">
        <f ca="1">SUM(X6:X28)</f>
        <v>12896.999999</v>
      </c>
    </row>
  </sheetData>
  <sheetProtection selectLockedCells="1"/>
  <mergeCells count="7">
    <mergeCell ref="J1:K1"/>
    <mergeCell ref="X3:Y3"/>
    <mergeCell ref="B3:C3"/>
    <mergeCell ref="E3:F3"/>
    <mergeCell ref="H3:K3"/>
    <mergeCell ref="M3:R3"/>
    <mergeCell ref="T3:V3"/>
  </mergeCells>
  <pageMargins left="0.7" right="0.7" top="0.75" bottom="0.75" header="0.3" footer="0.3"/>
  <pageSetup paperSize="9" scale="42"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Werkbladen</vt:lpstr>
      </vt:variant>
      <vt:variant>
        <vt:i4>12</vt:i4>
      </vt:variant>
      <vt:variant>
        <vt:lpstr>Benoemde bereiken</vt:lpstr>
      </vt:variant>
      <vt:variant>
        <vt:i4>39</vt:i4>
      </vt:variant>
    </vt:vector>
  </HeadingPairs>
  <TitlesOfParts>
    <vt:vector size="51" baseType="lpstr">
      <vt:lpstr>Calculator</vt:lpstr>
      <vt:lpstr>financieel nadeel</vt:lpstr>
      <vt:lpstr>Productselectie</vt:lpstr>
      <vt:lpstr>Producten</vt:lpstr>
      <vt:lpstr>Keuzemenu</vt:lpstr>
      <vt:lpstr>Stamgegevens</vt:lpstr>
      <vt:lpstr>BTW</vt:lpstr>
      <vt:lpstr>Jaargegevens</vt:lpstr>
      <vt:lpstr>Degradatie</vt:lpstr>
      <vt:lpstr>Cycli</vt:lpstr>
      <vt:lpstr>Opbrengsten</vt:lpstr>
      <vt:lpstr>Kosten</vt:lpstr>
      <vt:lpstr>Calculator!Afdrukbereik</vt:lpstr>
      <vt:lpstr>Cycli!Afdrukbereik</vt:lpstr>
      <vt:lpstr>Jaargegevens!Afdrukbereik</vt:lpstr>
      <vt:lpstr>Kosten!Afdrukbereik</vt:lpstr>
      <vt:lpstr>Opbrengsten!Afdrukbereik</vt:lpstr>
      <vt:lpstr>Calculator!Afdruktitels</vt:lpstr>
      <vt:lpstr>Cycli!Afdruktitels</vt:lpstr>
      <vt:lpstr>Opbrengsten!Afdruktitels</vt:lpstr>
      <vt:lpstr>capa1</vt:lpstr>
      <vt:lpstr>capa2</vt:lpstr>
      <vt:lpstr>capa3</vt:lpstr>
      <vt:lpstr>capa4</vt:lpstr>
      <vt:lpstr>capa5</vt:lpstr>
      <vt:lpstr>capa6</vt:lpstr>
      <vt:lpstr>capa7</vt:lpstr>
      <vt:lpstr>fase1</vt:lpstr>
      <vt:lpstr>fase11</vt:lpstr>
      <vt:lpstr>merk1</vt:lpstr>
      <vt:lpstr>merk11</vt:lpstr>
      <vt:lpstr>merk2</vt:lpstr>
      <vt:lpstr>merk21</vt:lpstr>
      <vt:lpstr>omvo1</vt:lpstr>
      <vt:lpstr>omvo11</vt:lpstr>
      <vt:lpstr>omvo2</vt:lpstr>
      <vt:lpstr>omvo21</vt:lpstr>
      <vt:lpstr>omvo3</vt:lpstr>
      <vt:lpstr>omvo31</vt:lpstr>
      <vt:lpstr>omvo4</vt:lpstr>
      <vt:lpstr>omvo41</vt:lpstr>
      <vt:lpstr>omvo5</vt:lpstr>
      <vt:lpstr>omvo51</vt:lpstr>
      <vt:lpstr>ParticulierJaJa</vt:lpstr>
      <vt:lpstr>ParticulierJaNee</vt:lpstr>
      <vt:lpstr>ParticulierNeeJa</vt:lpstr>
      <vt:lpstr>ParticulierNeeNee</vt:lpstr>
      <vt:lpstr>ZakelijkJaJa</vt:lpstr>
      <vt:lpstr>ZakelijkJaNee</vt:lpstr>
      <vt:lpstr>ZakelijkNeeJa</vt:lpstr>
      <vt:lpstr>ZakelijkNeeNee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 Scheidt | Go Social</dc:creator>
  <cp:lastModifiedBy>Alen Dedeic</cp:lastModifiedBy>
  <cp:lastPrinted>2025-11-06T14:58:34Z</cp:lastPrinted>
  <dcterms:created xsi:type="dcterms:W3CDTF">2025-03-05T08:38:32Z</dcterms:created>
  <dcterms:modified xsi:type="dcterms:W3CDTF">2025-11-17T14:02:45Z</dcterms:modified>
</cp:coreProperties>
</file>